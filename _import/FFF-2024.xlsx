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2.xml" ContentType="application/vnd.openxmlformats-officedocument.drawing+xml"/>
  <Override PartName="/xl/ctrlProps/ctrlProp9.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10.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trlProps/ctrlProp11.xml" ContentType="application/vnd.ms-excel.controlproperties+xml"/>
  <Override PartName="/xl/comments3.xml" ContentType="application/vnd.openxmlformats-officedocument.spreadsheetml.comments+xml"/>
  <Override PartName="/xl/drawings/drawing5.xml" ContentType="application/vnd.openxmlformats-officedocument.drawing+xml"/>
  <Override PartName="/xl/ctrlProps/ctrlProp12.xml" ContentType="application/vnd.ms-excel.controlproperties+xml"/>
  <Override PartName="/xl/drawings/drawing6.xml" ContentType="application/vnd.openxmlformats-officedocument.drawing+xml"/>
  <Override PartName="/xl/ctrlProps/ctrlProp13.xml" ContentType="application/vnd.ms-excel.controlproperties+xml"/>
  <Override PartName="/xl/comments4.xml" ContentType="application/vnd.openxmlformats-officedocument.spreadsheetml.comments+xml"/>
  <Override PartName="/xl/drawings/drawing7.xml" ContentType="application/vnd.openxmlformats-officedocument.drawing+xml"/>
  <Override PartName="/xl/ctrlProps/ctrlProp14.xml" ContentType="application/vnd.ms-excel.controlproperties+xml"/>
  <Override PartName="/xl/drawings/drawing8.xml" ContentType="application/vnd.openxmlformats-officedocument.drawing+xml"/>
  <Override PartName="/xl/ctrlProps/ctrlProp15.xml" ContentType="application/vnd.ms-excel.controlproperties+xml"/>
  <Override PartName="/xl/comments5.xml" ContentType="application/vnd.openxmlformats-officedocument.spreadsheetml.comments+xml"/>
  <Override PartName="/xl/drawings/drawing9.xml" ContentType="application/vnd.openxmlformats-officedocument.drawing+xml"/>
  <Override PartName="/xl/ctrlProps/ctrlProp1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autoCompressPictures="0" defaultThemeVersion="124226"/>
  <mc:AlternateContent xmlns:mc="http://schemas.openxmlformats.org/markup-compatibility/2006">
    <mc:Choice Requires="x15">
      <x15ac:absPath xmlns:x15ac="http://schemas.microsoft.com/office/spreadsheetml/2010/11/ac" url="Z:\OneDrive\Documents\CLIENTS FISCOTEAM\SCAN\Scan adam\"/>
    </mc:Choice>
  </mc:AlternateContent>
  <xr:revisionPtr revIDLastSave="0" documentId="13_ncr:1_{162B3CF7-81D8-4010-A8A5-184D76D47C89}" xr6:coauthVersionLast="47" xr6:coauthVersionMax="47" xr10:uidLastSave="{00000000-0000-0000-0000-000000000000}"/>
  <bookViews>
    <workbookView xWindow="-28920" yWindow="-120" windowWidth="29040" windowHeight="15840" tabRatio="802" activeTab="7" xr2:uid="{00000000-000D-0000-FFFF-FFFF00000000}"/>
  </bookViews>
  <sheets>
    <sheet name="Menu" sheetId="14" r:id="rId1"/>
    <sheet name="Bilan ouverture" sheetId="1" r:id="rId2"/>
    <sheet name="Journal" sheetId="7" r:id="rId3"/>
    <sheet name="Résultat" sheetId="3" r:id="rId4"/>
    <sheet name="Caisse" sheetId="5" r:id="rId5"/>
    <sheet name="Bilan Clôture" sheetId="6" r:id="rId6"/>
    <sheet name="Budget" sheetId="4" r:id="rId7"/>
    <sheet name="Imprimer" sheetId="13" r:id="rId8"/>
    <sheet name="Membres" sheetId="10" r:id="rId9"/>
  </sheets>
  <definedNames>
    <definedName name="compte">'Bilan ouverture'!$A$18:$A$49</definedName>
    <definedName name="comptes">'Bilan ouverture'!$A$18:$A$50</definedName>
    <definedName name="date">Journal!$O$1:$O$365</definedName>
    <definedName name="Deb">Membres!$A$6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C12" i="13" l="1"/>
  <c r="C30" i="13"/>
  <c r="F30" i="13"/>
  <c r="F29" i="13"/>
  <c r="E18" i="7"/>
  <c r="E14" i="7"/>
  <c r="E12" i="7"/>
  <c r="E7" i="7"/>
  <c r="E8" i="7"/>
  <c r="E13" i="7"/>
  <c r="E9" i="7"/>
  <c r="E5" i="7" l="1"/>
  <c r="F72" i="4" l="1"/>
  <c r="F76" i="4"/>
  <c r="F80" i="4"/>
  <c r="F84" i="4"/>
  <c r="F88" i="4"/>
  <c r="D23" i="10" l="1"/>
  <c r="A63" i="6" l="1"/>
  <c r="B63" i="6"/>
  <c r="B5" i="6" l="1"/>
  <c r="B51" i="6" s="1"/>
  <c r="D5" i="6"/>
  <c r="A58" i="6" s="1"/>
  <c r="B6" i="6"/>
  <c r="B52" i="6" s="1"/>
  <c r="D6" i="6"/>
  <c r="A59" i="6" s="1"/>
  <c r="B7" i="6"/>
  <c r="B53" i="6" s="1"/>
  <c r="D7" i="6"/>
  <c r="A60" i="6" s="1"/>
  <c r="E5" i="6"/>
  <c r="B58" i="6" s="1"/>
  <c r="E6" i="6"/>
  <c r="B59" i="6" s="1"/>
  <c r="A16" i="6"/>
  <c r="A6" i="6"/>
  <c r="A52" i="6" s="1"/>
  <c r="A7" i="6"/>
  <c r="A53" i="6" s="1"/>
  <c r="A27" i="1"/>
  <c r="A23" i="6" s="1"/>
  <c r="E23" i="6" s="1"/>
  <c r="B27" i="1"/>
  <c r="B23" i="6" s="1"/>
  <c r="A21" i="1"/>
  <c r="B21" i="1"/>
  <c r="A20" i="1"/>
  <c r="B20" i="1"/>
  <c r="B16" i="6" s="1"/>
  <c r="D7" i="13" l="1"/>
  <c r="C23" i="6"/>
  <c r="F23" i="6" s="1"/>
  <c r="F6" i="6" s="1"/>
  <c r="B8" i="13"/>
  <c r="E7" i="13"/>
  <c r="B7" i="13"/>
  <c r="A7" i="13"/>
  <c r="E16" i="6"/>
  <c r="A8" i="13"/>
  <c r="C16" i="6"/>
  <c r="C17" i="4"/>
  <c r="F7" i="13" l="1"/>
  <c r="C59" i="6"/>
  <c r="F16" i="6"/>
  <c r="C6" i="6" s="1"/>
  <c r="C53" i="4"/>
  <c r="F51" i="4"/>
  <c r="E53" i="4" s="1"/>
  <c r="C7" i="13" l="1"/>
  <c r="C52" i="6"/>
  <c r="D53" i="4"/>
  <c r="F66" i="4" s="1"/>
  <c r="E54" i="4"/>
  <c r="E55" i="4" s="1"/>
  <c r="F65" i="4"/>
  <c r="F53" i="4" l="1"/>
  <c r="C54" i="4" s="1"/>
  <c r="D54" i="4" s="1"/>
  <c r="F54" i="4" s="1"/>
  <c r="C55" i="4" s="1"/>
  <c r="D55" i="4" s="1"/>
  <c r="F55" i="4" s="1"/>
  <c r="C56" i="4" s="1"/>
  <c r="E56" i="4"/>
  <c r="E57" i="4" s="1"/>
  <c r="E58" i="4" s="1"/>
  <c r="E59" i="4" s="1"/>
  <c r="E60" i="4" s="1"/>
  <c r="E61" i="4" s="1"/>
  <c r="E62" i="4" s="1"/>
  <c r="C33" i="4"/>
  <c r="C45" i="4" s="1"/>
  <c r="B33" i="4"/>
  <c r="B45" i="4" s="1"/>
  <c r="C39" i="4"/>
  <c r="C40" i="4" s="1"/>
  <c r="C41" i="4" s="1"/>
  <c r="C42" i="4" s="1"/>
  <c r="C43" i="4" s="1"/>
  <c r="D37" i="4"/>
  <c r="D29" i="4"/>
  <c r="D30" i="4" s="1"/>
  <c r="C27" i="4"/>
  <c r="C28" i="4" s="1"/>
  <c r="C29" i="4" s="1"/>
  <c r="C30" i="4" s="1"/>
  <c r="C31" i="4" s="1"/>
  <c r="E63" i="4" l="1"/>
  <c r="D56" i="4"/>
  <c r="F56" i="4" s="1"/>
  <c r="D27" i="4"/>
  <c r="F33" i="4" s="1"/>
  <c r="D39" i="4"/>
  <c r="C57" i="4" l="1"/>
  <c r="E39" i="4"/>
  <c r="F45" i="4"/>
  <c r="F27" i="4"/>
  <c r="F28" i="4" s="1"/>
  <c r="F29" i="4" s="1"/>
  <c r="F30" i="4" s="1"/>
  <c r="E27" i="4"/>
  <c r="E28" i="4" s="1"/>
  <c r="E29" i="4" s="1"/>
  <c r="E30" i="4" s="1"/>
  <c r="F39" i="4"/>
  <c r="D31" i="4"/>
  <c r="D57" i="4" l="1"/>
  <c r="F57" i="4" s="1"/>
  <c r="D40" i="4"/>
  <c r="E40" i="4" s="1"/>
  <c r="E31" i="4"/>
  <c r="F31" i="4"/>
  <c r="C58" i="4" l="1"/>
  <c r="F40" i="4"/>
  <c r="D58" i="4" l="1"/>
  <c r="D41" i="4"/>
  <c r="E41" i="4" s="1"/>
  <c r="F58" i="4" l="1"/>
  <c r="C59" i="4" s="1"/>
  <c r="F41" i="4"/>
  <c r="D59" i="4" l="1"/>
  <c r="F59" i="4" s="1"/>
  <c r="D42" i="4"/>
  <c r="E42" i="4" s="1"/>
  <c r="C60" i="4" l="1"/>
  <c r="D60" i="4" s="1"/>
  <c r="F42" i="4"/>
  <c r="F60" i="4" l="1"/>
  <c r="D43" i="4"/>
  <c r="E43" i="4" s="1"/>
  <c r="B45" i="1"/>
  <c r="B46" i="1"/>
  <c r="B47" i="1"/>
  <c r="B48" i="1"/>
  <c r="B49" i="1"/>
  <c r="B50" i="1"/>
  <c r="B32" i="1"/>
  <c r="B33" i="1"/>
  <c r="B34" i="1"/>
  <c r="B35" i="1"/>
  <c r="B36" i="1"/>
  <c r="B37" i="1"/>
  <c r="B38" i="1"/>
  <c r="B39" i="1"/>
  <c r="B40" i="1"/>
  <c r="B41" i="1"/>
  <c r="B42" i="1"/>
  <c r="B43" i="1"/>
  <c r="B26" i="1"/>
  <c r="B28" i="1"/>
  <c r="B24" i="6" s="1"/>
  <c r="B29" i="1"/>
  <c r="B30" i="1"/>
  <c r="B31" i="1"/>
  <c r="B25" i="1"/>
  <c r="B19" i="1"/>
  <c r="B22" i="1"/>
  <c r="B23" i="1"/>
  <c r="B24" i="1"/>
  <c r="B18" i="1"/>
  <c r="C61" i="4" l="1"/>
  <c r="D61" i="4" s="1"/>
  <c r="F43" i="4"/>
  <c r="B20" i="6"/>
  <c r="A24" i="1"/>
  <c r="A20" i="6" s="1"/>
  <c r="A10" i="6"/>
  <c r="B10" i="6"/>
  <c r="A11" i="13" l="1"/>
  <c r="A56" i="6"/>
  <c r="B11" i="13"/>
  <c r="B56" i="6"/>
  <c r="C20" i="6"/>
  <c r="E20" i="6"/>
  <c r="F61" i="4"/>
  <c r="O1" i="7"/>
  <c r="O2" i="7" s="1"/>
  <c r="O3" i="7" s="1"/>
  <c r="O4" i="7" s="1"/>
  <c r="O5" i="7" s="1"/>
  <c r="O6" i="7" s="1"/>
  <c r="O7" i="7" s="1"/>
  <c r="O8" i="7" s="1"/>
  <c r="O9" i="7" s="1"/>
  <c r="O10" i="7" s="1"/>
  <c r="O11" i="7" s="1"/>
  <c r="O12" i="7" s="1"/>
  <c r="O13" i="7" s="1"/>
  <c r="O14" i="7" s="1"/>
  <c r="O15" i="7" s="1"/>
  <c r="O16" i="7" s="1"/>
  <c r="O17" i="7" s="1"/>
  <c r="O18" i="7" s="1"/>
  <c r="O19" i="7" s="1"/>
  <c r="O20" i="7" s="1"/>
  <c r="O21" i="7" s="1"/>
  <c r="O22" i="7" s="1"/>
  <c r="O23" i="7" s="1"/>
  <c r="O24" i="7" s="1"/>
  <c r="O25" i="7" s="1"/>
  <c r="O26" i="7" s="1"/>
  <c r="O27" i="7" s="1"/>
  <c r="O28" i="7" s="1"/>
  <c r="O29" i="7" s="1"/>
  <c r="O30" i="7" s="1"/>
  <c r="O31" i="7" s="1"/>
  <c r="O32" i="7" s="1"/>
  <c r="O33" i="7" s="1"/>
  <c r="O34" i="7" s="1"/>
  <c r="O35" i="7" s="1"/>
  <c r="O36" i="7" s="1"/>
  <c r="O37" i="7" s="1"/>
  <c r="O38" i="7" s="1"/>
  <c r="O39" i="7" s="1"/>
  <c r="O40" i="7" s="1"/>
  <c r="O41" i="7" s="1"/>
  <c r="O42" i="7" s="1"/>
  <c r="O43" i="7" s="1"/>
  <c r="O44" i="7" s="1"/>
  <c r="O45" i="7" s="1"/>
  <c r="O46" i="7" s="1"/>
  <c r="O47" i="7" s="1"/>
  <c r="O48" i="7" s="1"/>
  <c r="O49" i="7" s="1"/>
  <c r="O50" i="7" s="1"/>
  <c r="O51" i="7" s="1"/>
  <c r="O52" i="7" s="1"/>
  <c r="O53" i="7" s="1"/>
  <c r="O54" i="7" s="1"/>
  <c r="O55" i="7" s="1"/>
  <c r="O56" i="7" s="1"/>
  <c r="O57" i="7" s="1"/>
  <c r="O58" i="7" s="1"/>
  <c r="O59" i="7" s="1"/>
  <c r="O60" i="7" s="1"/>
  <c r="O61" i="7" s="1"/>
  <c r="O62" i="7" s="1"/>
  <c r="O63" i="7" s="1"/>
  <c r="O64" i="7" s="1"/>
  <c r="O65" i="7" s="1"/>
  <c r="O66" i="7" s="1"/>
  <c r="O67" i="7" s="1"/>
  <c r="O68" i="7" s="1"/>
  <c r="O69" i="7" s="1"/>
  <c r="O70" i="7" s="1"/>
  <c r="O71" i="7" s="1"/>
  <c r="O72" i="7" s="1"/>
  <c r="O73" i="7" s="1"/>
  <c r="O74" i="7" s="1"/>
  <c r="O75" i="7" s="1"/>
  <c r="O76" i="7" s="1"/>
  <c r="O77" i="7" s="1"/>
  <c r="O78" i="7" s="1"/>
  <c r="O79" i="7" s="1"/>
  <c r="O80" i="7" s="1"/>
  <c r="O81" i="7" s="1"/>
  <c r="O82" i="7" s="1"/>
  <c r="O83" i="7" s="1"/>
  <c r="O84" i="7" s="1"/>
  <c r="O85" i="7" s="1"/>
  <c r="O86" i="7" s="1"/>
  <c r="O87" i="7" s="1"/>
  <c r="O88" i="7" s="1"/>
  <c r="O89" i="7" s="1"/>
  <c r="O90" i="7" s="1"/>
  <c r="O91" i="7" s="1"/>
  <c r="O92" i="7" s="1"/>
  <c r="O93" i="7" s="1"/>
  <c r="O94" i="7" s="1"/>
  <c r="O95" i="7" s="1"/>
  <c r="O96" i="7" s="1"/>
  <c r="O97" i="7" s="1"/>
  <c r="O98" i="7" s="1"/>
  <c r="O99" i="7" s="1"/>
  <c r="O100" i="7" s="1"/>
  <c r="O101" i="7" s="1"/>
  <c r="O102" i="7" s="1"/>
  <c r="O103" i="7" s="1"/>
  <c r="O104" i="7" s="1"/>
  <c r="O105" i="7" s="1"/>
  <c r="O106" i="7" s="1"/>
  <c r="O107" i="7" s="1"/>
  <c r="O108" i="7" s="1"/>
  <c r="O109" i="7" s="1"/>
  <c r="O110" i="7" s="1"/>
  <c r="O111" i="7" s="1"/>
  <c r="O112" i="7" s="1"/>
  <c r="O113" i="7" s="1"/>
  <c r="O114" i="7" s="1"/>
  <c r="O115" i="7" s="1"/>
  <c r="O116" i="7" s="1"/>
  <c r="O117" i="7" s="1"/>
  <c r="O118" i="7" s="1"/>
  <c r="O119" i="7" s="1"/>
  <c r="O120" i="7" s="1"/>
  <c r="O121" i="7" s="1"/>
  <c r="O122" i="7" s="1"/>
  <c r="O123" i="7" s="1"/>
  <c r="O124" i="7" s="1"/>
  <c r="O125" i="7" s="1"/>
  <c r="O126" i="7" s="1"/>
  <c r="O127" i="7" s="1"/>
  <c r="O128" i="7" s="1"/>
  <c r="O129" i="7" s="1"/>
  <c r="O130" i="7" s="1"/>
  <c r="O131" i="7" s="1"/>
  <c r="O132" i="7" s="1"/>
  <c r="O133" i="7" s="1"/>
  <c r="O134" i="7" s="1"/>
  <c r="O135" i="7" s="1"/>
  <c r="O136" i="7" s="1"/>
  <c r="O137" i="7" s="1"/>
  <c r="O138" i="7" s="1"/>
  <c r="O139" i="7" s="1"/>
  <c r="O140" i="7" s="1"/>
  <c r="O141" i="7" s="1"/>
  <c r="O142" i="7" s="1"/>
  <c r="O143" i="7" s="1"/>
  <c r="O144" i="7" s="1"/>
  <c r="O145" i="7" s="1"/>
  <c r="O146" i="7" s="1"/>
  <c r="O147" i="7" s="1"/>
  <c r="O148" i="7" s="1"/>
  <c r="O149" i="7" s="1"/>
  <c r="O150" i="7" s="1"/>
  <c r="O151" i="7" s="1"/>
  <c r="O152" i="7" s="1"/>
  <c r="O153" i="7" s="1"/>
  <c r="O154" i="7" s="1"/>
  <c r="O155" i="7" s="1"/>
  <c r="O156" i="7" s="1"/>
  <c r="O157" i="7" s="1"/>
  <c r="O158" i="7" s="1"/>
  <c r="O159" i="7" s="1"/>
  <c r="O160" i="7" s="1"/>
  <c r="O161" i="7" s="1"/>
  <c r="O162" i="7" s="1"/>
  <c r="O163" i="7" s="1"/>
  <c r="O164" i="7" s="1"/>
  <c r="O165" i="7" s="1"/>
  <c r="O166" i="7" s="1"/>
  <c r="O167" i="7" s="1"/>
  <c r="O168" i="7" s="1"/>
  <c r="O169" i="7" s="1"/>
  <c r="O170" i="7" s="1"/>
  <c r="O171" i="7" s="1"/>
  <c r="O172" i="7" s="1"/>
  <c r="O173" i="7" s="1"/>
  <c r="O174" i="7" s="1"/>
  <c r="O175" i="7" s="1"/>
  <c r="O176" i="7" s="1"/>
  <c r="O177" i="7" s="1"/>
  <c r="O178" i="7" s="1"/>
  <c r="O179" i="7" s="1"/>
  <c r="O180" i="7" s="1"/>
  <c r="O181" i="7" s="1"/>
  <c r="O182" i="7" s="1"/>
  <c r="O183" i="7" s="1"/>
  <c r="O184" i="7" s="1"/>
  <c r="O185" i="7" s="1"/>
  <c r="O186" i="7" s="1"/>
  <c r="O187" i="7" s="1"/>
  <c r="O188" i="7" s="1"/>
  <c r="O189" i="7" s="1"/>
  <c r="O190" i="7" s="1"/>
  <c r="O191" i="7" s="1"/>
  <c r="O192" i="7" s="1"/>
  <c r="O193" i="7" s="1"/>
  <c r="O194" i="7" s="1"/>
  <c r="O195" i="7" s="1"/>
  <c r="O196" i="7" s="1"/>
  <c r="O197" i="7" s="1"/>
  <c r="O198" i="7" s="1"/>
  <c r="O199" i="7" s="1"/>
  <c r="O200" i="7" s="1"/>
  <c r="O201" i="7" s="1"/>
  <c r="O202" i="7" s="1"/>
  <c r="O203" i="7" s="1"/>
  <c r="O204" i="7" s="1"/>
  <c r="O205" i="7" s="1"/>
  <c r="O206" i="7" s="1"/>
  <c r="O207" i="7" s="1"/>
  <c r="O208" i="7" s="1"/>
  <c r="O209" i="7" s="1"/>
  <c r="O210" i="7" s="1"/>
  <c r="O211" i="7" s="1"/>
  <c r="O212" i="7" s="1"/>
  <c r="O213" i="7" s="1"/>
  <c r="O214" i="7" s="1"/>
  <c r="O215" i="7" s="1"/>
  <c r="O216" i="7" s="1"/>
  <c r="O217" i="7" s="1"/>
  <c r="O218" i="7" s="1"/>
  <c r="O219" i="7" s="1"/>
  <c r="O220" i="7" s="1"/>
  <c r="O221" i="7" s="1"/>
  <c r="O222" i="7" s="1"/>
  <c r="O223" i="7" s="1"/>
  <c r="O224" i="7" s="1"/>
  <c r="O225" i="7" s="1"/>
  <c r="O226" i="7" s="1"/>
  <c r="O227" i="7" s="1"/>
  <c r="O228" i="7" s="1"/>
  <c r="O229" i="7" s="1"/>
  <c r="O230" i="7" s="1"/>
  <c r="O231" i="7" s="1"/>
  <c r="O232" i="7" s="1"/>
  <c r="O233" i="7" s="1"/>
  <c r="O234" i="7" s="1"/>
  <c r="O235" i="7" s="1"/>
  <c r="O236" i="7" s="1"/>
  <c r="O237" i="7" s="1"/>
  <c r="O238" i="7" s="1"/>
  <c r="O239" i="7" s="1"/>
  <c r="O240" i="7" s="1"/>
  <c r="O241" i="7" s="1"/>
  <c r="O242" i="7" s="1"/>
  <c r="O243" i="7" s="1"/>
  <c r="O244" i="7" s="1"/>
  <c r="O245" i="7" s="1"/>
  <c r="O246" i="7" s="1"/>
  <c r="O247" i="7" s="1"/>
  <c r="O248" i="7" s="1"/>
  <c r="O249" i="7" s="1"/>
  <c r="O250" i="7" s="1"/>
  <c r="O251" i="7" s="1"/>
  <c r="O252" i="7" s="1"/>
  <c r="O253" i="7" s="1"/>
  <c r="O254" i="7" s="1"/>
  <c r="O255" i="7" s="1"/>
  <c r="O256" i="7" s="1"/>
  <c r="O257" i="7" s="1"/>
  <c r="O258" i="7" s="1"/>
  <c r="O259" i="7" s="1"/>
  <c r="O260" i="7" s="1"/>
  <c r="O261" i="7" s="1"/>
  <c r="O262" i="7" s="1"/>
  <c r="O263" i="7" s="1"/>
  <c r="O264" i="7" s="1"/>
  <c r="O265" i="7" s="1"/>
  <c r="O266" i="7" s="1"/>
  <c r="O267" i="7" s="1"/>
  <c r="O268" i="7" s="1"/>
  <c r="O269" i="7" s="1"/>
  <c r="O270" i="7" s="1"/>
  <c r="O271" i="7" s="1"/>
  <c r="O272" i="7" s="1"/>
  <c r="O273" i="7" s="1"/>
  <c r="O274" i="7" s="1"/>
  <c r="O275" i="7" s="1"/>
  <c r="O276" i="7" s="1"/>
  <c r="O277" i="7" s="1"/>
  <c r="O278" i="7" s="1"/>
  <c r="O279" i="7" s="1"/>
  <c r="O280" i="7" s="1"/>
  <c r="O281" i="7" s="1"/>
  <c r="O282" i="7" s="1"/>
  <c r="O283" i="7" s="1"/>
  <c r="O284" i="7" s="1"/>
  <c r="O285" i="7" s="1"/>
  <c r="O286" i="7" s="1"/>
  <c r="O287" i="7" s="1"/>
  <c r="O288" i="7" s="1"/>
  <c r="O289" i="7" s="1"/>
  <c r="O290" i="7" s="1"/>
  <c r="O291" i="7" s="1"/>
  <c r="O292" i="7" s="1"/>
  <c r="O293" i="7" s="1"/>
  <c r="O294" i="7" s="1"/>
  <c r="O295" i="7" s="1"/>
  <c r="O296" i="7" s="1"/>
  <c r="O297" i="7" s="1"/>
  <c r="O298" i="7" s="1"/>
  <c r="O299" i="7" s="1"/>
  <c r="O300" i="7" s="1"/>
  <c r="O301" i="7" s="1"/>
  <c r="O302" i="7" s="1"/>
  <c r="O303" i="7" s="1"/>
  <c r="O304" i="7" s="1"/>
  <c r="O305" i="7" s="1"/>
  <c r="O306" i="7" s="1"/>
  <c r="O307" i="7" s="1"/>
  <c r="O308" i="7" s="1"/>
  <c r="O309" i="7" s="1"/>
  <c r="O310" i="7" s="1"/>
  <c r="O311" i="7" s="1"/>
  <c r="O312" i="7" s="1"/>
  <c r="O313" i="7" s="1"/>
  <c r="O314" i="7" s="1"/>
  <c r="O315" i="7" s="1"/>
  <c r="O316" i="7" s="1"/>
  <c r="O317" i="7" s="1"/>
  <c r="O318" i="7" s="1"/>
  <c r="O319" i="7" s="1"/>
  <c r="O320" i="7" s="1"/>
  <c r="O321" i="7" s="1"/>
  <c r="O322" i="7" s="1"/>
  <c r="O323" i="7" s="1"/>
  <c r="O324" i="7" s="1"/>
  <c r="O325" i="7" s="1"/>
  <c r="O326" i="7" s="1"/>
  <c r="O327" i="7" s="1"/>
  <c r="O328" i="7" s="1"/>
  <c r="O329" i="7" s="1"/>
  <c r="O330" i="7" s="1"/>
  <c r="O331" i="7" s="1"/>
  <c r="O332" i="7" s="1"/>
  <c r="O333" i="7" s="1"/>
  <c r="O334" i="7" s="1"/>
  <c r="O335" i="7" s="1"/>
  <c r="O336" i="7" s="1"/>
  <c r="O337" i="7" s="1"/>
  <c r="O338" i="7" s="1"/>
  <c r="O339" i="7" s="1"/>
  <c r="O340" i="7" s="1"/>
  <c r="O341" i="7" s="1"/>
  <c r="O342" i="7" s="1"/>
  <c r="O343" i="7" s="1"/>
  <c r="O344" i="7" s="1"/>
  <c r="O345" i="7" s="1"/>
  <c r="O346" i="7" s="1"/>
  <c r="O347" i="7" s="1"/>
  <c r="O348" i="7" s="1"/>
  <c r="O349" i="7" s="1"/>
  <c r="O350" i="7" s="1"/>
  <c r="O351" i="7" s="1"/>
  <c r="O352" i="7" s="1"/>
  <c r="O353" i="7" s="1"/>
  <c r="O354" i="7" s="1"/>
  <c r="O355" i="7" s="1"/>
  <c r="O356" i="7" s="1"/>
  <c r="O357" i="7" s="1"/>
  <c r="O358" i="7" s="1"/>
  <c r="O359" i="7" s="1"/>
  <c r="O360" i="7" s="1"/>
  <c r="O361" i="7" s="1"/>
  <c r="O362" i="7" s="1"/>
  <c r="O363" i="7" s="1"/>
  <c r="O364" i="7" s="1"/>
  <c r="O365" i="7" s="1"/>
  <c r="F20" i="6" l="1"/>
  <c r="C10" i="6" s="1"/>
  <c r="C56" i="6" s="1"/>
  <c r="C62" i="4"/>
  <c r="G6" i="7"/>
  <c r="G7" i="7"/>
  <c r="G9" i="7"/>
  <c r="G10" i="7"/>
  <c r="F11" i="7"/>
  <c r="G11" i="7"/>
  <c r="F12" i="7"/>
  <c r="G12" i="7"/>
  <c r="G13" i="7"/>
  <c r="A57" i="13"/>
  <c r="B57" i="13"/>
  <c r="C57" i="13"/>
  <c r="E57" i="13"/>
  <c r="F57" i="13"/>
  <c r="A58" i="13"/>
  <c r="B58" i="13"/>
  <c r="C58" i="13"/>
  <c r="E58" i="13"/>
  <c r="F58" i="13"/>
  <c r="A59" i="13"/>
  <c r="B59" i="13"/>
  <c r="C59" i="13"/>
  <c r="E59" i="13"/>
  <c r="F59" i="13"/>
  <c r="A60" i="13"/>
  <c r="B60" i="13"/>
  <c r="C60" i="13"/>
  <c r="E60" i="13"/>
  <c r="F60" i="13"/>
  <c r="A61" i="13"/>
  <c r="B61" i="13"/>
  <c r="C61" i="13"/>
  <c r="E61" i="13"/>
  <c r="F61" i="13"/>
  <c r="A62" i="13"/>
  <c r="B62" i="13"/>
  <c r="C62" i="13"/>
  <c r="E62" i="13"/>
  <c r="F62" i="13"/>
  <c r="A63" i="13"/>
  <c r="B63" i="13"/>
  <c r="C63" i="13"/>
  <c r="E63" i="13"/>
  <c r="F63" i="13"/>
  <c r="A64" i="13"/>
  <c r="B64" i="13"/>
  <c r="C64" i="13"/>
  <c r="E64" i="13"/>
  <c r="F64" i="13"/>
  <c r="A65" i="13"/>
  <c r="B65" i="13"/>
  <c r="C65" i="13"/>
  <c r="E65" i="13"/>
  <c r="F65" i="13"/>
  <c r="A66" i="13"/>
  <c r="B66" i="13"/>
  <c r="C66" i="13"/>
  <c r="E66" i="13"/>
  <c r="F66" i="13"/>
  <c r="A67" i="13"/>
  <c r="B67" i="13"/>
  <c r="C67" i="13"/>
  <c r="E67" i="13"/>
  <c r="F67" i="13"/>
  <c r="A68" i="13"/>
  <c r="B68" i="13"/>
  <c r="C68" i="13"/>
  <c r="E68" i="13"/>
  <c r="F68" i="13"/>
  <c r="A69" i="13"/>
  <c r="B69" i="13"/>
  <c r="C69" i="13"/>
  <c r="E69" i="13"/>
  <c r="F69" i="13"/>
  <c r="A70" i="13"/>
  <c r="B70" i="13"/>
  <c r="C70" i="13"/>
  <c r="E70" i="13"/>
  <c r="F70" i="13"/>
  <c r="A71" i="13"/>
  <c r="B71" i="13"/>
  <c r="C71" i="13"/>
  <c r="E71" i="13"/>
  <c r="F71" i="13"/>
  <c r="A72" i="13"/>
  <c r="B72" i="13"/>
  <c r="C72" i="13"/>
  <c r="E72" i="13"/>
  <c r="F72" i="13"/>
  <c r="A73" i="13"/>
  <c r="B73" i="13"/>
  <c r="C73" i="13"/>
  <c r="E73" i="13"/>
  <c r="F73" i="13"/>
  <c r="A74" i="13"/>
  <c r="B74" i="13"/>
  <c r="C74" i="13"/>
  <c r="E74" i="13"/>
  <c r="F74" i="13"/>
  <c r="A75" i="13"/>
  <c r="B75" i="13"/>
  <c r="C75" i="13"/>
  <c r="E75" i="13"/>
  <c r="F75" i="13"/>
  <c r="A76" i="13"/>
  <c r="B76" i="13"/>
  <c r="C76" i="13"/>
  <c r="E76" i="13"/>
  <c r="F76" i="13"/>
  <c r="A77" i="13"/>
  <c r="B77" i="13"/>
  <c r="C77" i="13"/>
  <c r="E77" i="13"/>
  <c r="F77" i="13"/>
  <c r="A78" i="13"/>
  <c r="B78" i="13"/>
  <c r="C78" i="13"/>
  <c r="E78" i="13"/>
  <c r="F78" i="13"/>
  <c r="A79" i="13"/>
  <c r="B79" i="13"/>
  <c r="C79" i="13"/>
  <c r="E79" i="13"/>
  <c r="F79" i="13"/>
  <c r="A80" i="13"/>
  <c r="B80" i="13"/>
  <c r="C80" i="13"/>
  <c r="E80" i="13"/>
  <c r="F80" i="13"/>
  <c r="A81" i="13"/>
  <c r="B81" i="13"/>
  <c r="C81" i="13"/>
  <c r="E81" i="13"/>
  <c r="F81" i="13"/>
  <c r="A82" i="13"/>
  <c r="B82" i="13"/>
  <c r="C82" i="13"/>
  <c r="E82" i="13"/>
  <c r="F82" i="13"/>
  <c r="A83" i="13"/>
  <c r="B83" i="13"/>
  <c r="C83" i="13"/>
  <c r="E83" i="13"/>
  <c r="F83" i="13"/>
  <c r="A84" i="13"/>
  <c r="B84" i="13"/>
  <c r="C84" i="13"/>
  <c r="E84" i="13"/>
  <c r="F84" i="13"/>
  <c r="A85" i="13"/>
  <c r="B85" i="13"/>
  <c r="C85" i="13"/>
  <c r="E85" i="13"/>
  <c r="F85" i="13"/>
  <c r="A86" i="13"/>
  <c r="B86" i="13"/>
  <c r="C86" i="13"/>
  <c r="E86" i="13"/>
  <c r="F86" i="13"/>
  <c r="A87" i="13"/>
  <c r="B87" i="13"/>
  <c r="C87" i="13"/>
  <c r="E87" i="13"/>
  <c r="F87" i="13"/>
  <c r="A88" i="13"/>
  <c r="B88" i="13"/>
  <c r="C88" i="13"/>
  <c r="E88" i="13"/>
  <c r="F88" i="13"/>
  <c r="A89" i="13"/>
  <c r="B89" i="13"/>
  <c r="C89" i="13"/>
  <c r="E89" i="13"/>
  <c r="F89" i="13"/>
  <c r="A90" i="13"/>
  <c r="B90" i="13"/>
  <c r="C90" i="13"/>
  <c r="E90" i="13"/>
  <c r="F90" i="13"/>
  <c r="A91" i="13"/>
  <c r="B91" i="13"/>
  <c r="C91" i="13"/>
  <c r="E91" i="13"/>
  <c r="F91" i="13"/>
  <c r="A92" i="13"/>
  <c r="B92" i="13"/>
  <c r="C92" i="13"/>
  <c r="E92" i="13"/>
  <c r="F92" i="13"/>
  <c r="A93" i="13"/>
  <c r="B93" i="13"/>
  <c r="C93" i="13"/>
  <c r="E93" i="13"/>
  <c r="F93" i="13"/>
  <c r="A94" i="13"/>
  <c r="B94" i="13"/>
  <c r="C94" i="13"/>
  <c r="E94" i="13"/>
  <c r="F94" i="13"/>
  <c r="A95" i="13"/>
  <c r="B95" i="13"/>
  <c r="C95" i="13"/>
  <c r="E95" i="13"/>
  <c r="F95" i="13"/>
  <c r="A96" i="13"/>
  <c r="B96" i="13"/>
  <c r="C96" i="13"/>
  <c r="E96" i="13"/>
  <c r="F96" i="13"/>
  <c r="A97" i="13"/>
  <c r="B97" i="13"/>
  <c r="C97" i="13"/>
  <c r="E97" i="13"/>
  <c r="F97" i="13"/>
  <c r="A98" i="13"/>
  <c r="B98" i="13"/>
  <c r="C98" i="13"/>
  <c r="E98" i="13"/>
  <c r="F98" i="13"/>
  <c r="A99" i="13"/>
  <c r="B99" i="13"/>
  <c r="C99" i="13"/>
  <c r="E99" i="13"/>
  <c r="F99" i="13"/>
  <c r="A100" i="13"/>
  <c r="B100" i="13"/>
  <c r="C100" i="13"/>
  <c r="E100" i="13"/>
  <c r="F100" i="13"/>
  <c r="A101" i="13"/>
  <c r="B101" i="13"/>
  <c r="C101" i="13"/>
  <c r="E101" i="13"/>
  <c r="F101" i="13"/>
  <c r="A102" i="13"/>
  <c r="B102" i="13"/>
  <c r="C102" i="13"/>
  <c r="E102" i="13"/>
  <c r="F102" i="13"/>
  <c r="A103" i="13"/>
  <c r="B103" i="13"/>
  <c r="C103" i="13"/>
  <c r="E103" i="13"/>
  <c r="F103" i="13"/>
  <c r="A104" i="13"/>
  <c r="B104" i="13"/>
  <c r="C104" i="13"/>
  <c r="E104" i="13"/>
  <c r="F104" i="13"/>
  <c r="A105" i="13"/>
  <c r="B105" i="13"/>
  <c r="C105" i="13"/>
  <c r="E105" i="13"/>
  <c r="F105" i="13"/>
  <c r="A106" i="13"/>
  <c r="B106" i="13"/>
  <c r="C106" i="13"/>
  <c r="E106" i="13"/>
  <c r="F106" i="13"/>
  <c r="A107" i="13"/>
  <c r="B107" i="13"/>
  <c r="C107" i="13"/>
  <c r="E107" i="13"/>
  <c r="F107" i="13"/>
  <c r="A108" i="13"/>
  <c r="B108" i="13"/>
  <c r="C108" i="13"/>
  <c r="E108" i="13"/>
  <c r="F108" i="13"/>
  <c r="B56" i="13"/>
  <c r="C56" i="13"/>
  <c r="E56" i="13"/>
  <c r="F56" i="13"/>
  <c r="A56" i="13"/>
  <c r="E50" i="13"/>
  <c r="D44" i="13"/>
  <c r="E44" i="13"/>
  <c r="D45" i="13"/>
  <c r="E45" i="13"/>
  <c r="D46" i="13"/>
  <c r="E46" i="13"/>
  <c r="D47" i="13"/>
  <c r="E47" i="13"/>
  <c r="D48" i="13"/>
  <c r="E48" i="13"/>
  <c r="D49" i="13"/>
  <c r="E49" i="13"/>
  <c r="E43" i="13"/>
  <c r="D43" i="13"/>
  <c r="A38" i="13"/>
  <c r="B38" i="13"/>
  <c r="A39" i="13"/>
  <c r="B39" i="13"/>
  <c r="A40" i="13"/>
  <c r="B40" i="13"/>
  <c r="A41" i="13"/>
  <c r="B41" i="13"/>
  <c r="A42" i="13"/>
  <c r="B42" i="13"/>
  <c r="A43" i="13"/>
  <c r="B43" i="13"/>
  <c r="A44" i="13"/>
  <c r="B44" i="13"/>
  <c r="A45" i="13"/>
  <c r="B45" i="13"/>
  <c r="A46" i="13"/>
  <c r="B46" i="13"/>
  <c r="A47" i="13"/>
  <c r="B47" i="13"/>
  <c r="A48" i="13"/>
  <c r="B48" i="13"/>
  <c r="A49" i="13"/>
  <c r="B49" i="13"/>
  <c r="B50" i="13"/>
  <c r="B37" i="13"/>
  <c r="A37" i="13"/>
  <c r="B30" i="13"/>
  <c r="A17" i="13"/>
  <c r="B17" i="13"/>
  <c r="F17" i="13"/>
  <c r="A18" i="13"/>
  <c r="B18" i="13"/>
  <c r="F18" i="13"/>
  <c r="A19" i="13"/>
  <c r="B19" i="13"/>
  <c r="F19" i="13"/>
  <c r="A20" i="13"/>
  <c r="B20" i="13"/>
  <c r="F20" i="13"/>
  <c r="A21" i="13"/>
  <c r="B21" i="13"/>
  <c r="F21" i="13"/>
  <c r="A22" i="13"/>
  <c r="B22" i="13"/>
  <c r="F22" i="13"/>
  <c r="A23" i="13"/>
  <c r="B23" i="13"/>
  <c r="D23" i="13"/>
  <c r="E23" i="13"/>
  <c r="A24" i="13"/>
  <c r="B24" i="13"/>
  <c r="D24" i="13"/>
  <c r="E24" i="13"/>
  <c r="A25" i="13"/>
  <c r="B25" i="13"/>
  <c r="D25" i="13"/>
  <c r="E25" i="13"/>
  <c r="A26" i="13"/>
  <c r="B26" i="13"/>
  <c r="D26" i="13"/>
  <c r="E26" i="13"/>
  <c r="A27" i="13"/>
  <c r="B27" i="13"/>
  <c r="D27" i="13"/>
  <c r="E27" i="13"/>
  <c r="A28" i="13"/>
  <c r="B28" i="13"/>
  <c r="D28" i="13"/>
  <c r="E28" i="13"/>
  <c r="A29" i="13"/>
  <c r="B29" i="13"/>
  <c r="D29" i="13"/>
  <c r="E29" i="13"/>
  <c r="B16" i="13"/>
  <c r="C16" i="13"/>
  <c r="E16" i="13"/>
  <c r="F16" i="13"/>
  <c r="A4" i="13"/>
  <c r="B4" i="13"/>
  <c r="C4" i="13"/>
  <c r="D4" i="13"/>
  <c r="E4" i="13"/>
  <c r="F4" i="13"/>
  <c r="B12" i="13"/>
  <c r="E12" i="13"/>
  <c r="B3" i="13"/>
  <c r="C3" i="13"/>
  <c r="D3" i="13"/>
  <c r="E3" i="13"/>
  <c r="F3" i="13"/>
  <c r="A3" i="13"/>
  <c r="F46" i="5"/>
  <c r="F47" i="5"/>
  <c r="F48" i="5"/>
  <c r="F49" i="5"/>
  <c r="F50" i="5"/>
  <c r="F51" i="5"/>
  <c r="F45" i="5"/>
  <c r="F38" i="5"/>
  <c r="F39" i="5"/>
  <c r="F40" i="5"/>
  <c r="F41" i="5"/>
  <c r="F37" i="5"/>
  <c r="F17" i="5"/>
  <c r="D62" i="4" l="1"/>
  <c r="C63" i="4"/>
  <c r="C12" i="1"/>
  <c r="F12" i="1"/>
  <c r="A45" i="1"/>
  <c r="A46" i="1"/>
  <c r="A41" i="6" s="1"/>
  <c r="B41" i="6"/>
  <c r="A47" i="1"/>
  <c r="A42" i="6" s="1"/>
  <c r="B42" i="6"/>
  <c r="A48" i="1"/>
  <c r="A43" i="6" s="1"/>
  <c r="B43" i="6"/>
  <c r="A49" i="1"/>
  <c r="A44" i="6" s="1"/>
  <c r="B44" i="6"/>
  <c r="A50" i="1"/>
  <c r="A45" i="6" s="1"/>
  <c r="B45" i="6"/>
  <c r="A44" i="1"/>
  <c r="A39" i="6" s="1"/>
  <c r="B44" i="1"/>
  <c r="B39" i="6" s="1"/>
  <c r="A43" i="1"/>
  <c r="A42" i="1"/>
  <c r="A38" i="6" s="1"/>
  <c r="B38" i="6"/>
  <c r="A38" i="1"/>
  <c r="A34" i="6" s="1"/>
  <c r="B34" i="6"/>
  <c r="A39" i="1"/>
  <c r="A35" i="6" s="1"/>
  <c r="B35" i="6"/>
  <c r="A40" i="1"/>
  <c r="A36" i="6" s="1"/>
  <c r="B36" i="6"/>
  <c r="A41" i="1"/>
  <c r="A37" i="6" s="1"/>
  <c r="B37" i="6"/>
  <c r="A32" i="1"/>
  <c r="B28" i="6"/>
  <c r="A33" i="1"/>
  <c r="A29" i="6" s="1"/>
  <c r="B29" i="6"/>
  <c r="A34" i="1"/>
  <c r="A30" i="6" s="1"/>
  <c r="B30" i="6"/>
  <c r="A35" i="1"/>
  <c r="A31" i="6" s="1"/>
  <c r="B31" i="6"/>
  <c r="A36" i="1"/>
  <c r="A32" i="6" s="1"/>
  <c r="B32" i="6"/>
  <c r="A37" i="1"/>
  <c r="A33" i="6" s="1"/>
  <c r="B33" i="6"/>
  <c r="D6" i="13"/>
  <c r="E6" i="13"/>
  <c r="D8" i="13"/>
  <c r="E7" i="6"/>
  <c r="D8" i="6"/>
  <c r="E8" i="6"/>
  <c r="D9" i="6"/>
  <c r="E9" i="6"/>
  <c r="A5" i="6"/>
  <c r="B6" i="13"/>
  <c r="A8" i="6"/>
  <c r="B8" i="6"/>
  <c r="A9" i="6"/>
  <c r="B9" i="6"/>
  <c r="A26" i="1"/>
  <c r="A22" i="6" s="1"/>
  <c r="B22" i="6"/>
  <c r="A28" i="1"/>
  <c r="A24" i="6" s="1"/>
  <c r="A29" i="1"/>
  <c r="A25" i="6" s="1"/>
  <c r="B25" i="6"/>
  <c r="A30" i="1"/>
  <c r="A26" i="6" s="1"/>
  <c r="B26" i="6"/>
  <c r="B21" i="6"/>
  <c r="A25" i="1"/>
  <c r="A21" i="6" s="1"/>
  <c r="A19" i="1"/>
  <c r="A15" i="6" s="1"/>
  <c r="B15" i="6"/>
  <c r="A17" i="6"/>
  <c r="B17" i="6"/>
  <c r="A22" i="1"/>
  <c r="A18" i="6" s="1"/>
  <c r="B18" i="6"/>
  <c r="A23" i="1"/>
  <c r="A19" i="6" s="1"/>
  <c r="B19" i="6"/>
  <c r="B14" i="6"/>
  <c r="C24" i="6" l="1"/>
  <c r="E24" i="6"/>
  <c r="D9" i="13"/>
  <c r="A61" i="6"/>
  <c r="E10" i="13"/>
  <c r="B62" i="6"/>
  <c r="E8" i="13"/>
  <c r="B60" i="6"/>
  <c r="D10" i="13"/>
  <c r="A62" i="6"/>
  <c r="E9" i="13"/>
  <c r="B61" i="6"/>
  <c r="A10" i="13"/>
  <c r="A55" i="6"/>
  <c r="A6" i="13"/>
  <c r="A51" i="6"/>
  <c r="B9" i="13"/>
  <c r="B54" i="6"/>
  <c r="A9" i="13"/>
  <c r="A54" i="6"/>
  <c r="B10" i="13"/>
  <c r="B55" i="6"/>
  <c r="C39" i="6"/>
  <c r="E39" i="6"/>
  <c r="C44" i="6"/>
  <c r="E44" i="6"/>
  <c r="E42" i="6"/>
  <c r="C42" i="6"/>
  <c r="E18" i="6"/>
  <c r="C18" i="6"/>
  <c r="C15" i="6"/>
  <c r="E15" i="6"/>
  <c r="E26" i="6"/>
  <c r="C26" i="6"/>
  <c r="E33" i="6"/>
  <c r="C33" i="6"/>
  <c r="E31" i="6"/>
  <c r="C31" i="6"/>
  <c r="E29" i="6"/>
  <c r="C29" i="6"/>
  <c r="E37" i="6"/>
  <c r="C37" i="6"/>
  <c r="E35" i="6"/>
  <c r="C35" i="6"/>
  <c r="E38" i="6"/>
  <c r="C38" i="6"/>
  <c r="C45" i="6"/>
  <c r="E45" i="6"/>
  <c r="C43" i="6"/>
  <c r="E43" i="6"/>
  <c r="C41" i="6"/>
  <c r="E41" i="6"/>
  <c r="C21" i="6"/>
  <c r="E21" i="6"/>
  <c r="C19" i="6"/>
  <c r="E19" i="6"/>
  <c r="E17" i="6"/>
  <c r="C17" i="6"/>
  <c r="E25" i="6"/>
  <c r="C25" i="6"/>
  <c r="C22" i="6"/>
  <c r="E22" i="6"/>
  <c r="E32" i="6"/>
  <c r="C32" i="6"/>
  <c r="E30" i="6"/>
  <c r="C30" i="6"/>
  <c r="E36" i="6"/>
  <c r="C36" i="6"/>
  <c r="E34" i="6"/>
  <c r="C34" i="6"/>
  <c r="F62" i="4"/>
  <c r="D63" i="4"/>
  <c r="A28" i="6"/>
  <c r="A13" i="1"/>
  <c r="F13" i="1"/>
  <c r="C43" i="13"/>
  <c r="C47" i="13"/>
  <c r="C39" i="13"/>
  <c r="C45" i="13"/>
  <c r="C41" i="13"/>
  <c r="C40" i="13"/>
  <c r="C44" i="13"/>
  <c r="F39" i="6" l="1"/>
  <c r="F12" i="3" s="1"/>
  <c r="F24" i="6"/>
  <c r="F19" i="6"/>
  <c r="C9" i="6" s="1"/>
  <c r="F41" i="6"/>
  <c r="F14" i="3" s="1"/>
  <c r="F18" i="3"/>
  <c r="F44" i="6"/>
  <c r="F17" i="3" s="1"/>
  <c r="F22" i="6"/>
  <c r="F43" i="6"/>
  <c r="F16" i="3" s="1"/>
  <c r="F15" i="6"/>
  <c r="C51" i="6" s="1"/>
  <c r="E28" i="6"/>
  <c r="C28" i="6"/>
  <c r="F36" i="6"/>
  <c r="C15" i="3" s="1"/>
  <c r="F32" i="6"/>
  <c r="C11" i="3" s="1"/>
  <c r="F25" i="6"/>
  <c r="F35" i="6"/>
  <c r="C14" i="3" s="1"/>
  <c r="F29" i="6"/>
  <c r="C8" i="3" s="1"/>
  <c r="F33" i="6"/>
  <c r="C12" i="3" s="1"/>
  <c r="F26" i="6"/>
  <c r="F9" i="6" s="1"/>
  <c r="F18" i="6"/>
  <c r="C8" i="6" s="1"/>
  <c r="F34" i="6"/>
  <c r="C13" i="3" s="1"/>
  <c r="F30" i="6"/>
  <c r="C9" i="3" s="1"/>
  <c r="F17" i="6"/>
  <c r="C7" i="6" s="1"/>
  <c r="F38" i="6"/>
  <c r="C17" i="3" s="1"/>
  <c r="C28" i="13" s="1"/>
  <c r="F37" i="6"/>
  <c r="C16" i="3" s="1"/>
  <c r="F31" i="6"/>
  <c r="C10" i="3" s="1"/>
  <c r="F7" i="6"/>
  <c r="F42" i="6"/>
  <c r="F15" i="3" s="1"/>
  <c r="F48" i="13"/>
  <c r="C38" i="13"/>
  <c r="F21" i="6"/>
  <c r="F4" i="6" s="1"/>
  <c r="C57" i="6" s="1"/>
  <c r="C42" i="13"/>
  <c r="C46" i="13"/>
  <c r="C48" i="13"/>
  <c r="F43" i="13"/>
  <c r="F10" i="13" l="1"/>
  <c r="C62" i="6"/>
  <c r="F8" i="13"/>
  <c r="C60" i="6"/>
  <c r="C9" i="13"/>
  <c r="C54" i="6"/>
  <c r="C8" i="13"/>
  <c r="C53" i="6"/>
  <c r="C10" i="13"/>
  <c r="C55" i="6"/>
  <c r="F5" i="6"/>
  <c r="F28" i="6"/>
  <c r="C7" i="3" s="1"/>
  <c r="F45" i="13"/>
  <c r="F49" i="13"/>
  <c r="F47" i="13"/>
  <c r="F23" i="13"/>
  <c r="C11" i="13"/>
  <c r="F46" i="13"/>
  <c r="F42" i="7"/>
  <c r="G42" i="7"/>
  <c r="F19" i="7"/>
  <c r="G19" i="7"/>
  <c r="F20" i="7"/>
  <c r="G20" i="7"/>
  <c r="F34" i="7"/>
  <c r="G34" i="7"/>
  <c r="F6" i="13" l="1"/>
  <c r="C58" i="6"/>
  <c r="F15" i="7"/>
  <c r="G15" i="7"/>
  <c r="F16" i="7"/>
  <c r="G16" i="7"/>
  <c r="F17" i="7"/>
  <c r="G17" i="7"/>
  <c r="F18" i="7"/>
  <c r="G18" i="7"/>
  <c r="F21" i="7"/>
  <c r="G21" i="7"/>
  <c r="F22" i="7"/>
  <c r="G22" i="7"/>
  <c r="F23" i="7"/>
  <c r="G23" i="7"/>
  <c r="F24" i="7"/>
  <c r="G24" i="7"/>
  <c r="F25" i="7"/>
  <c r="G25" i="7"/>
  <c r="F26" i="7"/>
  <c r="G26" i="7"/>
  <c r="F27" i="7"/>
  <c r="G27" i="7"/>
  <c r="F28" i="7"/>
  <c r="G28" i="7"/>
  <c r="F29" i="7"/>
  <c r="G29" i="7"/>
  <c r="F30" i="7"/>
  <c r="G30" i="7"/>
  <c r="F31" i="7"/>
  <c r="G31" i="7"/>
  <c r="F32" i="7"/>
  <c r="G32" i="7"/>
  <c r="F33" i="7"/>
  <c r="G33" i="7"/>
  <c r="F35" i="7"/>
  <c r="G35" i="7"/>
  <c r="F36" i="7"/>
  <c r="G36" i="7"/>
  <c r="F37" i="7"/>
  <c r="G37" i="7"/>
  <c r="F38" i="7"/>
  <c r="G38" i="7"/>
  <c r="F39" i="7"/>
  <c r="G39" i="7"/>
  <c r="F40" i="7"/>
  <c r="G40" i="7"/>
  <c r="F41" i="7"/>
  <c r="G41" i="7"/>
  <c r="F43" i="7"/>
  <c r="G43" i="7"/>
  <c r="F44" i="7"/>
  <c r="G44" i="7"/>
  <c r="F45" i="7"/>
  <c r="G45" i="7"/>
  <c r="F46" i="7"/>
  <c r="G46" i="7"/>
  <c r="F47" i="7"/>
  <c r="G47" i="7"/>
  <c r="F48" i="7"/>
  <c r="G48" i="7"/>
  <c r="F49" i="7"/>
  <c r="G49" i="7"/>
  <c r="F50" i="7"/>
  <c r="G50" i="7"/>
  <c r="F51" i="7"/>
  <c r="G51" i="7"/>
  <c r="F52" i="7"/>
  <c r="G52" i="7"/>
  <c r="F53" i="7"/>
  <c r="G53" i="7"/>
  <c r="F54" i="7"/>
  <c r="G54" i="7"/>
  <c r="F55" i="7"/>
  <c r="G55" i="7"/>
  <c r="F56" i="7"/>
  <c r="G56" i="7"/>
  <c r="F57" i="7"/>
  <c r="G57" i="7"/>
  <c r="F58" i="7"/>
  <c r="G58" i="7"/>
  <c r="F59" i="7"/>
  <c r="G59" i="7"/>
  <c r="F60" i="7"/>
  <c r="G60" i="7"/>
  <c r="F61" i="7"/>
  <c r="G61" i="7"/>
  <c r="F62" i="7"/>
  <c r="G62" i="7"/>
  <c r="F63" i="7"/>
  <c r="G63" i="7"/>
  <c r="F64" i="7"/>
  <c r="G64" i="7"/>
  <c r="F65" i="7"/>
  <c r="G65" i="7"/>
  <c r="F66" i="7"/>
  <c r="G66" i="7"/>
  <c r="F67" i="7"/>
  <c r="G67" i="7"/>
  <c r="F68" i="7"/>
  <c r="G68" i="7"/>
  <c r="F69" i="7"/>
  <c r="G69" i="7"/>
  <c r="F70" i="7"/>
  <c r="G70" i="7"/>
  <c r="F71" i="7"/>
  <c r="G71" i="7"/>
  <c r="F72" i="7"/>
  <c r="G72" i="7"/>
  <c r="F73" i="7"/>
  <c r="G73" i="7"/>
  <c r="F74" i="7"/>
  <c r="G74" i="7"/>
  <c r="F75" i="7"/>
  <c r="G75" i="7"/>
  <c r="F76" i="7"/>
  <c r="G76" i="7"/>
  <c r="F77" i="7"/>
  <c r="G77" i="7"/>
  <c r="F78" i="7"/>
  <c r="G78" i="7"/>
  <c r="F79" i="7"/>
  <c r="G79" i="7"/>
  <c r="F80" i="7"/>
  <c r="G80" i="7"/>
  <c r="F81" i="7"/>
  <c r="G81" i="7"/>
  <c r="F82" i="7"/>
  <c r="G82" i="7"/>
  <c r="F83" i="7"/>
  <c r="G83" i="7"/>
  <c r="F84" i="7"/>
  <c r="G84" i="7"/>
  <c r="F85" i="7"/>
  <c r="G85" i="7"/>
  <c r="F86" i="7"/>
  <c r="G86" i="7"/>
  <c r="F87" i="7"/>
  <c r="G87" i="7"/>
  <c r="F88" i="7"/>
  <c r="G88" i="7"/>
  <c r="F89" i="7"/>
  <c r="G89" i="7"/>
  <c r="F90" i="7"/>
  <c r="G90" i="7"/>
  <c r="F91" i="7"/>
  <c r="G91" i="7"/>
  <c r="F92" i="7"/>
  <c r="G92" i="7"/>
  <c r="F93" i="7"/>
  <c r="G93" i="7"/>
  <c r="F94" i="7"/>
  <c r="G94" i="7"/>
  <c r="F95" i="7"/>
  <c r="G95" i="7"/>
  <c r="F96" i="7"/>
  <c r="G96" i="7"/>
  <c r="F97" i="7"/>
  <c r="G97" i="7"/>
  <c r="F98" i="7"/>
  <c r="G98" i="7"/>
  <c r="F99" i="7"/>
  <c r="G99" i="7"/>
  <c r="F100" i="7"/>
  <c r="G100" i="7"/>
  <c r="F101" i="7"/>
  <c r="G101" i="7"/>
  <c r="F102" i="7"/>
  <c r="G102" i="7"/>
  <c r="F53" i="5" l="1"/>
  <c r="F23" i="5"/>
  <c r="F22" i="5"/>
  <c r="F21" i="5"/>
  <c r="F20" i="5"/>
  <c r="F19" i="5"/>
  <c r="F18" i="5"/>
  <c r="F13" i="5"/>
  <c r="F12" i="5"/>
  <c r="F11" i="5"/>
  <c r="F10" i="5"/>
  <c r="F9" i="5"/>
  <c r="F25" i="5" l="1"/>
  <c r="E4" i="6"/>
  <c r="D4" i="6"/>
  <c r="B4" i="6"/>
  <c r="A4" i="6"/>
  <c r="B40" i="6"/>
  <c r="A40" i="6"/>
  <c r="B27" i="6"/>
  <c r="A31" i="1"/>
  <c r="A27" i="6" s="1"/>
  <c r="A18" i="1"/>
  <c r="D27" i="5" l="1"/>
  <c r="E5" i="13"/>
  <c r="B57" i="6"/>
  <c r="B5" i="13"/>
  <c r="B50" i="6"/>
  <c r="D5" i="13"/>
  <c r="A57" i="6"/>
  <c r="A5" i="13"/>
  <c r="A50" i="6"/>
  <c r="C40" i="6"/>
  <c r="E40" i="6"/>
  <c r="G4" i="7"/>
  <c r="G5" i="7"/>
  <c r="C27" i="6"/>
  <c r="E27" i="6"/>
  <c r="A14" i="6"/>
  <c r="D55" i="5" l="1"/>
  <c r="F56" i="5" s="1"/>
  <c r="F27" i="5"/>
  <c r="F40" i="6"/>
  <c r="F13" i="3" s="1"/>
  <c r="E14" i="6"/>
  <c r="E46" i="6" s="1"/>
  <c r="C14" i="6"/>
  <c r="F27" i="6"/>
  <c r="C27" i="13"/>
  <c r="C26" i="13"/>
  <c r="C18" i="13"/>
  <c r="C20" i="13"/>
  <c r="C22" i="13"/>
  <c r="F28" i="13"/>
  <c r="F25" i="13"/>
  <c r="C24" i="13"/>
  <c r="C19" i="13"/>
  <c r="C23" i="13"/>
  <c r="C21" i="13"/>
  <c r="C25" i="13"/>
  <c r="B2" i="7"/>
  <c r="C46" i="6" l="1"/>
  <c r="F14" i="6"/>
  <c r="C4" i="6" s="1"/>
  <c r="C37" i="13"/>
  <c r="C6" i="3"/>
  <c r="C17" i="13" s="1"/>
  <c r="F5" i="13"/>
  <c r="F44" i="13"/>
  <c r="F27" i="13"/>
  <c r="F26" i="13"/>
  <c r="C11" i="6" l="1"/>
  <c r="C50" i="6"/>
  <c r="D2" i="7" s="1"/>
  <c r="C18" i="3"/>
  <c r="C61" i="6" s="1"/>
  <c r="F24" i="13"/>
  <c r="C5" i="13"/>
  <c r="F18" i="4"/>
  <c r="F50" i="13" s="1"/>
  <c r="F19" i="3"/>
  <c r="C18" i="4" l="1"/>
  <c r="C50" i="13" s="1"/>
  <c r="C49" i="13"/>
  <c r="G1" i="7"/>
  <c r="C19" i="3"/>
  <c r="F9" i="13" l="1"/>
  <c r="F12" i="13" l="1"/>
  <c r="C63" i="6"/>
  <c r="E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Johnson</author>
  </authors>
  <commentList>
    <comment ref="A3" authorId="0" shapeId="0" xr:uid="{00000000-0006-0000-0100-000001000000}">
      <text>
        <r>
          <rPr>
            <b/>
            <sz val="9"/>
            <color indexed="81"/>
            <rFont val="Tahoma"/>
            <family val="2"/>
          </rPr>
          <t>Johnson:</t>
        </r>
        <r>
          <rPr>
            <sz val="9"/>
            <color indexed="81"/>
            <rFont val="Tahoma"/>
            <family val="2"/>
          </rPr>
          <t xml:space="preserve">
Vous pouvez personnaliser les n° et noms de comptes ainsi que les montants de début d'exercice.
Veuillez remplir uniquement les cellules vertes actives SVP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Johnson</author>
  </authors>
  <commentList>
    <comment ref="A2" authorId="0" shapeId="0" xr:uid="{00000000-0006-0000-0200-000001000000}">
      <text>
        <r>
          <rPr>
            <b/>
            <sz val="9"/>
            <color indexed="81"/>
            <rFont val="Tahoma"/>
            <family val="2"/>
          </rPr>
          <t>Johnson:</t>
        </r>
        <r>
          <rPr>
            <sz val="9"/>
            <color indexed="81"/>
            <rFont val="Tahoma"/>
            <family val="2"/>
          </rPr>
          <t xml:space="preserve">
Le journal permet d'enregistrer toutes les opérations annuelles.
Mise de la date, écriture du libellé, choix des comptes débités et crédités avec le ménu déroulant, insertion des montants, et contrôle de l'état des comptes. 
Le résultat après votre dernier enregistrement s'affiche ainsi que l'état du bilan de clôture dont l'état  d'équilibre doit être absolument observé pour modifier le cas échéant la dernière écriture.
Si votre association n'est pas soumise à laTVA vos factures ( ticket de caisse, billets, frais bancaires... et recettes reçues et signés, produits bancaires ...) doivent être enregistrés au brut tels que vous les recevez normalement avec la TVA inclus puis archivés.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Johnson</author>
  </authors>
  <commentList>
    <comment ref="A4" authorId="0" shapeId="0" xr:uid="{00000000-0006-0000-0300-000001000000}">
      <text>
        <r>
          <rPr>
            <b/>
            <sz val="9"/>
            <color indexed="81"/>
            <rFont val="Tahoma"/>
            <family val="2"/>
          </rPr>
          <t>Johnson:</t>
        </r>
        <r>
          <rPr>
            <sz val="9"/>
            <color indexed="81"/>
            <rFont val="Tahoma"/>
            <family val="2"/>
          </rPr>
          <t xml:space="preserve">
Comme le bilan d'ouverture, vous pouvez modifier le plan comptable et les numéros de compte mais pas les montants qui font apparaître les soldes de vos opérations au journal.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Johnson</author>
  </authors>
  <commentList>
    <comment ref="A2" authorId="0" shapeId="0" xr:uid="{00000000-0006-0000-0500-000001000000}">
      <text>
        <r>
          <rPr>
            <b/>
            <sz val="9"/>
            <color indexed="81"/>
            <rFont val="Tahoma"/>
            <family val="2"/>
          </rPr>
          <t>Johnson:</t>
        </r>
        <r>
          <rPr>
            <sz val="9"/>
            <color indexed="81"/>
            <rFont val="Tahoma"/>
            <family val="2"/>
          </rPr>
          <t xml:space="preserve">
Le bilan de clôture d'exercice permet de constater l'état des comptes en fin d'exercice et la variation de fortune du fait du résultat d'activité</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Johnson</author>
  </authors>
  <commentList>
    <comment ref="A3" authorId="0" shapeId="0" xr:uid="{00000000-0006-0000-0800-000001000000}">
      <text>
        <r>
          <rPr>
            <b/>
            <sz val="9"/>
            <color indexed="81"/>
            <rFont val="Tahoma"/>
            <family val="2"/>
          </rPr>
          <t>Johnson:</t>
        </r>
        <r>
          <rPr>
            <sz val="9"/>
            <color indexed="81"/>
            <rFont val="Tahoma"/>
            <family val="2"/>
          </rPr>
          <t xml:space="preserve">
Le bilan de clôture d'exercice permet de constater l'état des comptes en fin d'exercice et la variation de fortune du fait du résultat d'activité</t>
        </r>
      </text>
    </comment>
  </commentList>
</comments>
</file>

<file path=xl/sharedStrings.xml><?xml version="1.0" encoding="utf-8"?>
<sst xmlns="http://schemas.openxmlformats.org/spreadsheetml/2006/main" count="284" uniqueCount="145">
  <si>
    <t>Dates</t>
  </si>
  <si>
    <t>Libellés</t>
  </si>
  <si>
    <t>Les Comptes</t>
  </si>
  <si>
    <t>TOTAUX</t>
  </si>
  <si>
    <t>Vérif compte débité</t>
  </si>
  <si>
    <t>Vérif compte crédité</t>
  </si>
  <si>
    <t>Compte d'exploitation ou Résultat</t>
  </si>
  <si>
    <t>Bilan d'ouverture d'exercice</t>
  </si>
  <si>
    <t>Journal des écritures quotidiennes</t>
  </si>
  <si>
    <t>Budget pour N+1</t>
  </si>
  <si>
    <t>montant</t>
  </si>
  <si>
    <t>votre résultat actuelle</t>
  </si>
  <si>
    <t>commentaires</t>
  </si>
  <si>
    <t>Actifs</t>
  </si>
  <si>
    <t>Passifs</t>
  </si>
  <si>
    <t>Montant</t>
  </si>
  <si>
    <t>Total</t>
  </si>
  <si>
    <t>Résultat</t>
  </si>
  <si>
    <t>Charges</t>
  </si>
  <si>
    <t>Date</t>
  </si>
  <si>
    <t>Heures</t>
  </si>
  <si>
    <t>Billets</t>
  </si>
  <si>
    <t>Nombres</t>
  </si>
  <si>
    <t>x</t>
  </si>
  <si>
    <t>=</t>
  </si>
  <si>
    <t>Totaux</t>
  </si>
  <si>
    <t>Monnaie</t>
  </si>
  <si>
    <t>Pieces</t>
  </si>
  <si>
    <t>Fonds de caisse</t>
  </si>
  <si>
    <t>Recette du jour</t>
  </si>
  <si>
    <t>N°</t>
  </si>
  <si>
    <t>Nom Prénom</t>
  </si>
  <si>
    <t>Code Postal</t>
  </si>
  <si>
    <t>Téléphone</t>
  </si>
  <si>
    <t>Catégorie</t>
  </si>
  <si>
    <t>Date de paiement</t>
  </si>
  <si>
    <t>Email</t>
  </si>
  <si>
    <t>Recette journalière</t>
  </si>
  <si>
    <t>Fonds de caisse initial</t>
  </si>
  <si>
    <t>Nom / Prénom</t>
  </si>
  <si>
    <t>ACE / mali de caisse</t>
  </si>
  <si>
    <t>Résultat avant affectation</t>
  </si>
  <si>
    <t>Diverses cautions versées</t>
  </si>
  <si>
    <t>Amortissement actifs</t>
  </si>
  <si>
    <t>Subventions non affectées obtenues</t>
  </si>
  <si>
    <t>Frais d'expéditions et Pub</t>
  </si>
  <si>
    <t>Divers assurances</t>
  </si>
  <si>
    <t>Electricite, gaz</t>
  </si>
  <si>
    <t>Divers frais administratifs</t>
  </si>
  <si>
    <t>Frais de déplacement et recherche</t>
  </si>
  <si>
    <t>Frais financiers</t>
  </si>
  <si>
    <t>Cotisations payés par les membres</t>
  </si>
  <si>
    <t>Dons et legs obtenues / boni de caisse</t>
  </si>
  <si>
    <t>Intérêts bancaires produits</t>
  </si>
  <si>
    <t xml:space="preserve"> </t>
  </si>
  <si>
    <t>Recettes nettes</t>
  </si>
  <si>
    <t xml:space="preserve">Tenue de caisse </t>
  </si>
  <si>
    <t>Montants</t>
  </si>
  <si>
    <t>Produits</t>
  </si>
  <si>
    <t>Compte débité</t>
  </si>
  <si>
    <t>Compte crédité</t>
  </si>
  <si>
    <t>Journal des opérations</t>
  </si>
  <si>
    <t>Cotisation en attente des membres</t>
  </si>
  <si>
    <t>Banque</t>
  </si>
  <si>
    <t>Caisse</t>
  </si>
  <si>
    <t>Charges à payer et avance à rembourser</t>
  </si>
  <si>
    <t>Résultat reporté</t>
  </si>
  <si>
    <t>Cotisation des membres et bénévoles</t>
  </si>
  <si>
    <t>N0</t>
  </si>
  <si>
    <t>Comptes</t>
  </si>
  <si>
    <t>Actifs ex véhicule</t>
  </si>
  <si>
    <t>Subventions obtenues projet 1</t>
  </si>
  <si>
    <t>Subventions obtenues projet 2</t>
  </si>
  <si>
    <t>Cotisations payées par les membres</t>
  </si>
  <si>
    <t>Date de debut d'exercice</t>
  </si>
  <si>
    <t>Capital ou fond déposé en banque</t>
  </si>
  <si>
    <t>Actifs ex meuble</t>
  </si>
  <si>
    <t>Valeur</t>
  </si>
  <si>
    <t>taux</t>
  </si>
  <si>
    <t>Année</t>
  </si>
  <si>
    <t>cummul</t>
  </si>
  <si>
    <t>Valeur résiduel</t>
  </si>
  <si>
    <t>Amortissement linéaire au prorata -temporis</t>
  </si>
  <si>
    <t>Enregistrement au tableur</t>
  </si>
  <si>
    <t>à</t>
  </si>
  <si>
    <t>Amortissement dégressif du même actif</t>
  </si>
  <si>
    <t>Amortisement des actifs</t>
  </si>
  <si>
    <t>annuité</t>
  </si>
  <si>
    <t>intérêt</t>
  </si>
  <si>
    <t>durée annuelle</t>
  </si>
  <si>
    <t>Amortissement financier en cas d'emprunt</t>
  </si>
  <si>
    <t xml:space="preserve">Amortisement financier </t>
  </si>
  <si>
    <t>amortissement</t>
  </si>
  <si>
    <t xml:space="preserve">Charges de projet </t>
  </si>
  <si>
    <t xml:space="preserve">Subventions  à obtenir projet </t>
  </si>
  <si>
    <t>Subventions non affectées à obtenir</t>
  </si>
  <si>
    <t>Comptabilité pour  Association</t>
  </si>
  <si>
    <t>Passifs transitoires</t>
  </si>
  <si>
    <t>Comptes bilan</t>
  </si>
  <si>
    <t xml:space="preserve">Actifs transitoires </t>
  </si>
  <si>
    <t>Dettes bancaires ou autres emprunts</t>
  </si>
  <si>
    <t>Electricité, gaz</t>
  </si>
  <si>
    <t>Défraiement bénévoles</t>
  </si>
  <si>
    <t>Subventions obtenues projet 3</t>
  </si>
  <si>
    <t>Frais et charges financiers</t>
  </si>
  <si>
    <t>Frais  et charges financiers</t>
  </si>
  <si>
    <t>Dons et legs obtenus / boni de caisse</t>
  </si>
  <si>
    <t>cumul</t>
  </si>
  <si>
    <t>date de clôture</t>
  </si>
  <si>
    <t>Amortissement</t>
  </si>
  <si>
    <t xml:space="preserve">Tableau détat de l'amortissement des actifs et emprunts </t>
  </si>
  <si>
    <t>Amortissement de l'emprunt</t>
  </si>
  <si>
    <t>Etat des avances du président de l'association</t>
  </si>
  <si>
    <t>Remboursement emprunt début d'exercice N</t>
  </si>
  <si>
    <t>Amort constant de l'exercice N</t>
  </si>
  <si>
    <t>capital restant dû en fin d'exercice N</t>
  </si>
  <si>
    <t>Amortissement d'actifs</t>
  </si>
  <si>
    <t>valeur en fin d'exercice N</t>
  </si>
  <si>
    <t>Valeur Actifs début d'exercice N</t>
  </si>
  <si>
    <t>Avances début d'exercice  N</t>
  </si>
  <si>
    <t>Etat des avances d'autres membre de l'association</t>
  </si>
  <si>
    <t>Avance de l'exercice N</t>
  </si>
  <si>
    <t>Montant des avances en fin d'exercice N</t>
  </si>
  <si>
    <t>Valeur actif</t>
  </si>
  <si>
    <t>Date  de mise en service</t>
  </si>
  <si>
    <t>Valeur  actif</t>
  </si>
  <si>
    <t>Actif</t>
  </si>
  <si>
    <t>Benevole</t>
  </si>
  <si>
    <t>Loyer</t>
  </si>
  <si>
    <t>Electrabel</t>
  </si>
  <si>
    <t>banque</t>
  </si>
  <si>
    <t xml:space="preserve">Rentrer </t>
  </si>
  <si>
    <t>Charges divers</t>
  </si>
  <si>
    <t>Assurance</t>
  </si>
  <si>
    <t>Frais Bénévoles</t>
  </si>
  <si>
    <t xml:space="preserve">Loyer </t>
  </si>
  <si>
    <t>Chiffre d'affaire</t>
  </si>
  <si>
    <t>Charges Divers</t>
  </si>
  <si>
    <t>Paiement Parents</t>
  </si>
  <si>
    <t>ONSS</t>
  </si>
  <si>
    <t>Salaire</t>
  </si>
  <si>
    <t xml:space="preserve">salaire </t>
  </si>
  <si>
    <t>Frais bénévoles PP ONSS</t>
  </si>
  <si>
    <t>12065,4/4 invest</t>
  </si>
  <si>
    <t>Bilan  2024 - FOOT FUN FAMILY FFF BE0721643871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</si>
</sst>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 &quot;fr.&quot;_-;\-* #,##0.00\ &quot;fr.&quot;_-;_-* &quot;-&quot;??\ &quot;fr.&quot;_-;_-@_-"/>
    <numFmt numFmtId="165" formatCode="_-* #,##0.00\ _f_r_._-;\-* #,##0.00\ _f_r_._-;_-* &quot;-&quot;??\ _f_r_._-;_-@_-"/>
    <numFmt numFmtId="166" formatCode="_ * #,##0.00_ ;_ * \-#,##0.00_ ;_ * &quot;-&quot;??_ ;_ @_ "/>
    <numFmt numFmtId="167" formatCode="&quot;fr.&quot;\ #,##0.00;[Red]&quot;fr.&quot;\ \-#,##0.00"/>
    <numFmt numFmtId="168" formatCode="_ &quot;fr.&quot;\ * #,##0_ ;_ &quot;fr.&quot;\ * \-#,##0_ ;_ &quot;fr.&quot;\ * &quot;-&quot;_ ;_ @_ "/>
    <numFmt numFmtId="169" formatCode="_-* #,##0.00\ _€_-;\-* #,##0.00\ _€_-;_-* &quot;-&quot;??\ _€_-;_-@_-"/>
    <numFmt numFmtId="170" formatCode="#,##0.00\ &quot;fr.&quot;"/>
    <numFmt numFmtId="171" formatCode="_ * #,##0_ ;_ * \-#,##0_ ;_ * &quot;-&quot;??_ ;_ @_ "/>
  </numFmts>
  <fonts count="59" x14ac:knownFonts="1">
    <font>
      <sz val="11"/>
      <color theme="1"/>
      <name val="Calibri"/>
      <family val="2"/>
      <scheme val="minor"/>
    </font>
    <font>
      <sz val="11"/>
      <color rgb="FFFF0000"/>
      <name val="Calibri"/>
      <family val="2"/>
      <scheme val="minor"/>
    </font>
    <font>
      <b/>
      <sz val="11"/>
      <color theme="1"/>
      <name val="Calibri"/>
      <family val="2"/>
      <scheme val="minor"/>
    </font>
    <font>
      <sz val="11"/>
      <color indexed="8"/>
      <name val="Times New Roman"/>
      <family val="1"/>
    </font>
    <font>
      <b/>
      <sz val="11"/>
      <color indexed="8"/>
      <name val="Times New Roman"/>
      <family val="1"/>
    </font>
    <font>
      <sz val="10"/>
      <name val="Times New Roman"/>
      <family val="1"/>
    </font>
    <font>
      <sz val="9"/>
      <color indexed="81"/>
      <name val="Tahoma"/>
      <family val="2"/>
    </font>
    <font>
      <b/>
      <sz val="9"/>
      <color indexed="81"/>
      <name val="Tahoma"/>
      <family val="2"/>
    </font>
    <font>
      <b/>
      <u/>
      <sz val="20"/>
      <color rgb="FFFF0000"/>
      <name val="Calibri"/>
      <family val="2"/>
      <scheme val="minor"/>
    </font>
    <font>
      <sz val="20"/>
      <color rgb="FFFF0000"/>
      <name val="Calibri"/>
      <family val="2"/>
      <scheme val="minor"/>
    </font>
    <font>
      <sz val="8"/>
      <name val="Verdana"/>
      <family val="2"/>
    </font>
    <font>
      <b/>
      <sz val="18"/>
      <color indexed="10"/>
      <name val="Times New Roman"/>
      <family val="1"/>
    </font>
    <font>
      <sz val="18"/>
      <color theme="1"/>
      <name val="Calibri"/>
      <family val="2"/>
      <scheme val="minor"/>
    </font>
    <font>
      <b/>
      <sz val="16"/>
      <color rgb="FFFF0000"/>
      <name val="Calibri"/>
      <family val="2"/>
      <scheme val="minor"/>
    </font>
    <font>
      <b/>
      <sz val="20"/>
      <color rgb="FFFF0000"/>
      <name val="Calibri"/>
      <family val="2"/>
      <scheme val="minor"/>
    </font>
    <font>
      <b/>
      <sz val="14"/>
      <color indexed="8"/>
      <name val="Times New Roman"/>
      <family val="1"/>
    </font>
    <font>
      <b/>
      <sz val="14"/>
      <color indexed="10"/>
      <name val="Arial Narrow"/>
      <family val="2"/>
    </font>
    <font>
      <sz val="14"/>
      <color indexed="8"/>
      <name val="Times New Roman"/>
      <family val="1"/>
    </font>
    <font>
      <b/>
      <i/>
      <sz val="14"/>
      <color indexed="10"/>
      <name val="Times New Roman"/>
      <family val="1"/>
    </font>
    <font>
      <b/>
      <sz val="10"/>
      <color indexed="8"/>
      <name val="Times New Roman"/>
      <family val="1"/>
    </font>
    <font>
      <b/>
      <sz val="10"/>
      <name val="Arial"/>
      <family val="2"/>
    </font>
    <font>
      <b/>
      <sz val="11"/>
      <name val="Arial"/>
      <family val="2"/>
    </font>
    <font>
      <sz val="18"/>
      <color theme="3" tint="0.39997558519241921"/>
      <name val="Calibri"/>
      <family val="2"/>
      <scheme val="minor"/>
    </font>
    <font>
      <b/>
      <u/>
      <sz val="14"/>
      <color indexed="8"/>
      <name val="Times New Roman"/>
      <family val="1"/>
    </font>
    <font>
      <u/>
      <sz val="9"/>
      <color theme="5" tint="-0.249977111117893"/>
      <name val="Arial Narrow"/>
      <family val="2"/>
    </font>
    <font>
      <sz val="9"/>
      <color theme="1"/>
      <name val="Arial Narrow"/>
      <family val="2"/>
    </font>
    <font>
      <sz val="9"/>
      <name val="Arial Narrow"/>
      <family val="2"/>
    </font>
    <font>
      <sz val="9"/>
      <color rgb="FFFF0000"/>
      <name val="Arial Narrow"/>
      <family val="2"/>
    </font>
    <font>
      <u/>
      <sz val="9"/>
      <name val="Arial Narrow"/>
      <family val="2"/>
    </font>
    <font>
      <sz val="10"/>
      <color theme="1"/>
      <name val="Arial Narrow"/>
      <family val="2"/>
    </font>
    <font>
      <sz val="10"/>
      <color indexed="8"/>
      <name val="Arial Narrow"/>
      <family val="2"/>
    </font>
    <font>
      <b/>
      <sz val="9"/>
      <color theme="1"/>
      <name val="Arial Narrow"/>
      <family val="2"/>
    </font>
    <font>
      <u/>
      <sz val="11"/>
      <color theme="1"/>
      <name val="Calibri"/>
      <family val="2"/>
      <scheme val="minor"/>
    </font>
    <font>
      <b/>
      <u/>
      <sz val="11"/>
      <color theme="1"/>
      <name val="Calibri"/>
      <family val="2"/>
      <scheme val="minor"/>
    </font>
    <font>
      <b/>
      <sz val="10"/>
      <color rgb="FFFF0000"/>
      <name val="Times New Roman"/>
      <family val="1"/>
    </font>
    <font>
      <sz val="18"/>
      <color indexed="8"/>
      <name val="Times New Roman"/>
      <family val="1"/>
    </font>
    <font>
      <b/>
      <sz val="12"/>
      <color theme="1"/>
      <name val="Arial Narrow"/>
      <family val="2"/>
    </font>
    <font>
      <u/>
      <sz val="12"/>
      <name val="Arial Narrow"/>
      <family val="2"/>
    </font>
    <font>
      <b/>
      <u/>
      <sz val="12"/>
      <name val="Arial Narrow"/>
      <family val="2"/>
    </font>
    <font>
      <sz val="11"/>
      <name val="Calibri"/>
      <family val="2"/>
      <scheme val="minor"/>
    </font>
    <font>
      <b/>
      <u/>
      <sz val="20"/>
      <name val="Calibri"/>
      <family val="2"/>
      <scheme val="minor"/>
    </font>
    <font>
      <sz val="20"/>
      <name val="Calibri"/>
      <family val="2"/>
      <scheme val="minor"/>
    </font>
    <font>
      <b/>
      <sz val="12"/>
      <name val="Arial Narrow"/>
      <family val="2"/>
    </font>
    <font>
      <b/>
      <u/>
      <sz val="20"/>
      <color theme="1"/>
      <name val="Arial Narrow"/>
      <family val="2"/>
    </font>
    <font>
      <sz val="26"/>
      <color theme="1"/>
      <name val="Calibri"/>
      <family val="2"/>
      <scheme val="minor"/>
    </font>
    <font>
      <sz val="11"/>
      <color rgb="FF000000"/>
      <name val="Calibri"/>
      <family val="2"/>
    </font>
    <font>
      <b/>
      <sz val="11"/>
      <color rgb="FFFF0000"/>
      <name val="Calibri"/>
      <family val="2"/>
      <scheme val="minor"/>
    </font>
    <font>
      <b/>
      <u/>
      <sz val="22"/>
      <color rgb="FFFF0000"/>
      <name val="Calibri"/>
      <family val="2"/>
      <scheme val="minor"/>
    </font>
    <font>
      <sz val="11"/>
      <color theme="1"/>
      <name val="Calibri"/>
      <family val="2"/>
      <scheme val="minor"/>
    </font>
    <font>
      <b/>
      <i/>
      <sz val="11"/>
      <color theme="1"/>
      <name val="Calibri"/>
      <family val="2"/>
      <scheme val="minor"/>
    </font>
    <font>
      <b/>
      <u/>
      <sz val="10"/>
      <color indexed="8"/>
      <name val="Times New Roman"/>
      <family val="1"/>
    </font>
    <font>
      <b/>
      <u/>
      <sz val="14"/>
      <color theme="1"/>
      <name val="Arial Narrow"/>
      <family val="2"/>
    </font>
    <font>
      <sz val="11"/>
      <color theme="1"/>
      <name val="Arial Narrow"/>
      <family val="2"/>
    </font>
    <font>
      <sz val="10"/>
      <color theme="1"/>
      <name val="Calibri"/>
      <family val="2"/>
      <scheme val="minor"/>
    </font>
    <font>
      <sz val="10"/>
      <name val="Arial Narrow"/>
      <family val="2"/>
    </font>
    <font>
      <b/>
      <sz val="10"/>
      <color indexed="10"/>
      <name val="Arial Narrow"/>
      <family val="2"/>
    </font>
    <font>
      <b/>
      <u/>
      <sz val="14"/>
      <color rgb="FFFF0000"/>
      <name val="Arial Narrow"/>
      <family val="2"/>
    </font>
    <font>
      <i/>
      <u/>
      <sz val="14"/>
      <color rgb="FFFF0000"/>
      <name val="Calibri"/>
      <family val="2"/>
      <scheme val="minor"/>
    </font>
    <font>
      <b/>
      <i/>
      <u/>
      <sz val="16"/>
      <color rgb="FFFF0000"/>
      <name val="Calibri"/>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rgb="FF00FF00"/>
        <bgColor indexed="64"/>
      </patternFill>
    </fill>
    <fill>
      <patternFill patternType="solid">
        <fgColor indexed="44"/>
        <bgColor indexed="64"/>
      </patternFill>
    </fill>
    <fill>
      <patternFill patternType="solid">
        <fgColor theme="9" tint="0.39997558519241921"/>
        <bgColor indexed="64"/>
      </patternFill>
    </fill>
    <fill>
      <patternFill patternType="solid">
        <fgColor rgb="FFCCC0DA"/>
        <bgColor indexed="64"/>
      </patternFill>
    </fill>
    <fill>
      <patternFill patternType="solid">
        <fgColor theme="9" tint="-0.249977111117893"/>
        <bgColor indexed="64"/>
      </patternFill>
    </fill>
    <fill>
      <patternFill patternType="solid">
        <fgColor rgb="FFCCFF33"/>
        <bgColor indexed="64"/>
      </patternFill>
    </fill>
    <fill>
      <patternFill patternType="solid">
        <fgColor theme="0"/>
        <bgColor indexed="64"/>
      </patternFill>
    </fill>
    <fill>
      <patternFill patternType="solid">
        <fgColor rgb="FF66FF33"/>
        <bgColor indexed="64"/>
      </patternFill>
    </fill>
    <fill>
      <patternFill patternType="solid">
        <fgColor theme="8"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48" fillId="0" borderId="0" applyFont="0" applyFill="0" applyBorder="0" applyAlignment="0" applyProtection="0"/>
  </cellStyleXfs>
  <cellXfs count="223">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0" fontId="3" fillId="0" borderId="0" xfId="0" applyFont="1"/>
    <xf numFmtId="0" fontId="0" fillId="4" borderId="1" xfId="0" applyFill="1" applyBorder="1" applyAlignment="1">
      <alignment horizontal="center"/>
    </xf>
    <xf numFmtId="0" fontId="2" fillId="4" borderId="1" xfId="0" applyFont="1" applyFill="1" applyBorder="1"/>
    <xf numFmtId="0" fontId="2" fillId="4" borderId="1" xfId="0" applyFont="1" applyFill="1" applyBorder="1" applyAlignment="1">
      <alignment horizontal="center"/>
    </xf>
    <xf numFmtId="0" fontId="0" fillId="4" borderId="1" xfId="0" applyFill="1" applyBorder="1"/>
    <xf numFmtId="0" fontId="4" fillId="6" borderId="1" xfId="0" applyFont="1" applyFill="1" applyBorder="1"/>
    <xf numFmtId="0" fontId="0" fillId="7" borderId="0" xfId="0" applyFill="1"/>
    <xf numFmtId="0" fontId="2" fillId="8" borderId="1" xfId="0" applyFont="1" applyFill="1" applyBorder="1"/>
    <xf numFmtId="0" fontId="2" fillId="8" borderId="1" xfId="0" applyFont="1" applyFill="1" applyBorder="1" applyAlignment="1">
      <alignment horizontal="center"/>
    </xf>
    <xf numFmtId="0" fontId="0" fillId="8" borderId="1" xfId="0" applyFill="1" applyBorder="1" applyAlignment="1">
      <alignment horizontal="center"/>
    </xf>
    <xf numFmtId="0" fontId="0" fillId="8" borderId="1" xfId="0" applyFill="1" applyBorder="1"/>
    <xf numFmtId="0" fontId="2" fillId="4" borderId="1" xfId="0" applyFont="1" applyFill="1" applyBorder="1" applyAlignment="1">
      <alignment horizontal="left"/>
    </xf>
    <xf numFmtId="0" fontId="0" fillId="4" borderId="1" xfId="0" applyFill="1" applyBorder="1" applyAlignment="1">
      <alignment horizontal="left"/>
    </xf>
    <xf numFmtId="0" fontId="0" fillId="0" borderId="0" xfId="0" applyAlignment="1">
      <alignment horizontal="left"/>
    </xf>
    <xf numFmtId="0" fontId="2" fillId="0" borderId="0" xfId="0" applyFont="1" applyAlignment="1">
      <alignment horizontal="left"/>
    </xf>
    <xf numFmtId="166" fontId="5" fillId="6" borderId="1" xfId="0" applyNumberFormat="1" applyFont="1" applyFill="1" applyBorder="1" applyAlignment="1" applyProtection="1">
      <alignment horizontal="left" wrapText="1"/>
      <protection locked="0" hidden="1"/>
    </xf>
    <xf numFmtId="0" fontId="0" fillId="12" borderId="1" xfId="0" applyFill="1" applyBorder="1"/>
    <xf numFmtId="0" fontId="0" fillId="12" borderId="1" xfId="0" applyFill="1" applyBorder="1" applyAlignment="1">
      <alignment horizontal="center"/>
    </xf>
    <xf numFmtId="0" fontId="14" fillId="6" borderId="1" xfId="0" applyFont="1" applyFill="1" applyBorder="1" applyAlignment="1">
      <alignment horizontal="center" wrapText="1"/>
    </xf>
    <xf numFmtId="166" fontId="16" fillId="6" borderId="1" xfId="0" applyNumberFormat="1" applyFont="1" applyFill="1" applyBorder="1" applyAlignment="1">
      <alignment horizontal="left" vertical="center" shrinkToFit="1"/>
    </xf>
    <xf numFmtId="0" fontId="0" fillId="11" borderId="1" xfId="0" applyFill="1" applyBorder="1" applyAlignment="1">
      <alignment horizontal="center"/>
    </xf>
    <xf numFmtId="0" fontId="0" fillId="14" borderId="1" xfId="0" applyFill="1" applyBorder="1" applyAlignment="1">
      <alignment horizontal="center"/>
    </xf>
    <xf numFmtId="0" fontId="0" fillId="13" borderId="1" xfId="0" applyFill="1" applyBorder="1" applyAlignment="1">
      <alignment horizontal="center"/>
    </xf>
    <xf numFmtId="0" fontId="0" fillId="12" borderId="3" xfId="0" applyFill="1" applyBorder="1" applyAlignment="1">
      <alignment horizontal="center"/>
    </xf>
    <xf numFmtId="0" fontId="0" fillId="12" borderId="6" xfId="0" applyFill="1" applyBorder="1" applyAlignment="1">
      <alignment horizontal="center"/>
    </xf>
    <xf numFmtId="0" fontId="1" fillId="4" borderId="1" xfId="0" applyFont="1" applyFill="1" applyBorder="1" applyAlignment="1">
      <alignment horizontal="left"/>
    </xf>
    <xf numFmtId="0" fontId="0" fillId="9" borderId="1" xfId="0" applyFill="1" applyBorder="1" applyAlignment="1" applyProtection="1">
      <alignment horizontal="center"/>
      <protection locked="0"/>
    </xf>
    <xf numFmtId="0" fontId="0" fillId="9" borderId="1" xfId="0" applyFill="1" applyBorder="1" applyProtection="1">
      <protection locked="0"/>
    </xf>
    <xf numFmtId="0" fontId="1" fillId="9" borderId="1" xfId="0" applyFont="1" applyFill="1" applyBorder="1" applyProtection="1">
      <protection locked="0"/>
    </xf>
    <xf numFmtId="0" fontId="0" fillId="12" borderId="0" xfId="0" applyFill="1" applyAlignment="1" applyProtection="1">
      <alignment horizontal="center"/>
      <protection hidden="1"/>
    </xf>
    <xf numFmtId="0" fontId="0" fillId="8" borderId="1" xfId="0" applyFill="1" applyBorder="1" applyAlignment="1" applyProtection="1">
      <alignment horizontal="center"/>
      <protection hidden="1"/>
    </xf>
    <xf numFmtId="0" fontId="1" fillId="8" borderId="1" xfId="0" applyFont="1" applyFill="1" applyBorder="1" applyAlignment="1" applyProtection="1">
      <alignment horizontal="center"/>
      <protection hidden="1"/>
    </xf>
    <xf numFmtId="0" fontId="2" fillId="8" borderId="1" xfId="0" applyFont="1" applyFill="1" applyBorder="1" applyAlignment="1" applyProtection="1">
      <alignment horizontal="center"/>
      <protection hidden="1"/>
    </xf>
    <xf numFmtId="0" fontId="0" fillId="9" borderId="1" xfId="0" applyFill="1" applyBorder="1" applyAlignment="1" applyProtection="1">
      <alignment horizontal="left"/>
      <protection locked="0"/>
    </xf>
    <xf numFmtId="0" fontId="19" fillId="0" borderId="0" xfId="0" applyFont="1"/>
    <xf numFmtId="0" fontId="19" fillId="0" borderId="0" xfId="0" applyFont="1" applyAlignment="1">
      <alignment horizontal="center"/>
    </xf>
    <xf numFmtId="0" fontId="20" fillId="10" borderId="1" xfId="0" applyFont="1" applyFill="1" applyBorder="1" applyAlignment="1" applyProtection="1">
      <alignment horizontal="center" vertical="center" wrapText="1"/>
      <protection hidden="1"/>
    </xf>
    <xf numFmtId="170" fontId="21" fillId="10" borderId="1" xfId="0" applyNumberFormat="1" applyFont="1" applyFill="1" applyBorder="1" applyAlignment="1" applyProtection="1">
      <alignment horizontal="center" vertical="center" wrapText="1"/>
      <protection hidden="1"/>
    </xf>
    <xf numFmtId="170" fontId="0" fillId="0" borderId="0" xfId="0" applyNumberFormat="1" applyAlignment="1">
      <alignment horizontal="center"/>
    </xf>
    <xf numFmtId="0" fontId="2" fillId="11" borderId="1" xfId="0" applyFont="1" applyFill="1" applyBorder="1" applyAlignment="1">
      <alignment horizontal="center"/>
    </xf>
    <xf numFmtId="164" fontId="3" fillId="9" borderId="1" xfId="0" applyNumberFormat="1" applyFont="1" applyFill="1" applyBorder="1" applyProtection="1">
      <protection locked="0"/>
    </xf>
    <xf numFmtId="2" fontId="19" fillId="0" borderId="1" xfId="0" applyNumberFormat="1" applyFont="1" applyBorder="1" applyAlignment="1">
      <alignment horizontal="center"/>
    </xf>
    <xf numFmtId="169" fontId="3" fillId="0" borderId="0" xfId="0" applyNumberFormat="1" applyFont="1"/>
    <xf numFmtId="0" fontId="24" fillId="15" borderId="0" xfId="0" applyFont="1" applyFill="1"/>
    <xf numFmtId="0" fontId="25" fillId="15" borderId="0" xfId="0" applyFont="1" applyFill="1"/>
    <xf numFmtId="0" fontId="26" fillId="0" borderId="1" xfId="0" applyFont="1" applyBorder="1"/>
    <xf numFmtId="0" fontId="25" fillId="15" borderId="1" xfId="0" applyFont="1" applyFill="1" applyBorder="1"/>
    <xf numFmtId="0" fontId="29" fillId="0" borderId="0" xfId="0" applyFont="1" applyAlignment="1">
      <alignment horizontal="center"/>
    </xf>
    <xf numFmtId="0" fontId="29" fillId="3" borderId="1" xfId="0" applyFont="1" applyFill="1" applyBorder="1" applyAlignment="1" applyProtection="1">
      <alignment horizontal="center"/>
      <protection locked="0" hidden="1"/>
    </xf>
    <xf numFmtId="0" fontId="29" fillId="0" borderId="0" xfId="0" applyFont="1" applyAlignment="1">
      <alignment horizontal="left"/>
    </xf>
    <xf numFmtId="0" fontId="29" fillId="3" borderId="1" xfId="0" applyFont="1" applyFill="1" applyBorder="1" applyAlignment="1">
      <alignment horizontal="left"/>
    </xf>
    <xf numFmtId="0" fontId="29" fillId="3" borderId="1" xfId="0" applyFont="1" applyFill="1" applyBorder="1" applyAlignment="1" applyProtection="1">
      <alignment horizontal="left"/>
      <protection locked="0" hidden="1"/>
    </xf>
    <xf numFmtId="0" fontId="25" fillId="5" borderId="1" xfId="0" applyFont="1" applyFill="1" applyBorder="1" applyAlignment="1">
      <alignment horizontal="left"/>
    </xf>
    <xf numFmtId="0" fontId="31" fillId="5" borderId="1" xfId="0" applyFont="1" applyFill="1" applyBorder="1" applyAlignment="1">
      <alignment horizontal="left"/>
    </xf>
    <xf numFmtId="0" fontId="27" fillId="5" borderId="1" xfId="0" applyFont="1" applyFill="1" applyBorder="1" applyAlignment="1">
      <alignment horizontal="left"/>
    </xf>
    <xf numFmtId="0" fontId="31" fillId="5" borderId="1" xfId="0" applyFont="1" applyFill="1" applyBorder="1" applyAlignment="1">
      <alignment horizontal="center"/>
    </xf>
    <xf numFmtId="0" fontId="25" fillId="5" borderId="1" xfId="0" applyFont="1" applyFill="1" applyBorder="1" applyAlignment="1" applyProtection="1">
      <alignment horizontal="center"/>
      <protection locked="0" hidden="1"/>
    </xf>
    <xf numFmtId="0" fontId="31" fillId="5" borderId="1" xfId="0" applyFont="1" applyFill="1" applyBorder="1" applyAlignment="1" applyProtection="1">
      <alignment horizontal="center"/>
      <protection locked="0" hidden="1"/>
    </xf>
    <xf numFmtId="0" fontId="25" fillId="5" borderId="1" xfId="0" applyFont="1" applyFill="1" applyBorder="1" applyAlignment="1">
      <alignment horizontal="center"/>
    </xf>
    <xf numFmtId="0" fontId="29" fillId="3" borderId="1" xfId="0" applyFont="1" applyFill="1" applyBorder="1" applyAlignment="1">
      <alignment horizontal="center"/>
    </xf>
    <xf numFmtId="0" fontId="17" fillId="9" borderId="1" xfId="0" applyFont="1" applyFill="1" applyBorder="1" applyAlignment="1" applyProtection="1">
      <alignment horizontal="left"/>
      <protection locked="0"/>
    </xf>
    <xf numFmtId="0" fontId="16" fillId="6" borderId="1" xfId="0" applyFont="1" applyFill="1" applyBorder="1" applyAlignment="1">
      <alignment horizontal="left" vertical="center" wrapText="1"/>
    </xf>
    <xf numFmtId="0" fontId="4" fillId="6" borderId="1" xfId="0" applyFont="1" applyFill="1" applyBorder="1" applyAlignment="1">
      <alignment horizontal="left"/>
    </xf>
    <xf numFmtId="0" fontId="3" fillId="0" borderId="0" xfId="0" applyFont="1" applyAlignment="1">
      <alignment horizontal="left"/>
    </xf>
    <xf numFmtId="0" fontId="32" fillId="0" borderId="0" xfId="0" applyFont="1" applyAlignment="1">
      <alignment horizontal="left"/>
    </xf>
    <xf numFmtId="0" fontId="33" fillId="0" borderId="0" xfId="0" applyFont="1" applyAlignment="1">
      <alignment horizontal="center"/>
    </xf>
    <xf numFmtId="0" fontId="32" fillId="0" borderId="0" xfId="0" applyFont="1" applyAlignment="1">
      <alignment horizontal="center"/>
    </xf>
    <xf numFmtId="0" fontId="33" fillId="0" borderId="0" xfId="0" applyFont="1"/>
    <xf numFmtId="0" fontId="19" fillId="16" borderId="1" xfId="0" applyFont="1" applyFill="1" applyBorder="1" applyAlignment="1">
      <alignment horizontal="center"/>
    </xf>
    <xf numFmtId="0" fontId="35" fillId="0" borderId="0" xfId="0" applyFont="1"/>
    <xf numFmtId="0" fontId="36" fillId="0" borderId="1" xfId="0" applyFont="1" applyBorder="1" applyAlignment="1">
      <alignment horizontal="center"/>
    </xf>
    <xf numFmtId="0" fontId="25" fillId="0" borderId="1" xfId="0" applyFont="1" applyBorder="1" applyAlignment="1">
      <alignment horizontal="center"/>
    </xf>
    <xf numFmtId="0" fontId="37" fillId="0" borderId="1" xfId="0" applyFont="1" applyBorder="1"/>
    <xf numFmtId="0" fontId="38" fillId="0" borderId="1" xfId="0" applyFont="1" applyBorder="1"/>
    <xf numFmtId="0" fontId="38" fillId="0" borderId="1" xfId="0" applyFont="1" applyBorder="1" applyAlignment="1">
      <alignment horizontal="center"/>
    </xf>
    <xf numFmtId="0" fontId="28" fillId="0" borderId="1" xfId="0" applyFont="1" applyBorder="1"/>
    <xf numFmtId="0" fontId="28" fillId="0" borderId="1" xfId="0" applyFont="1" applyBorder="1" applyAlignment="1">
      <alignment horizontal="center"/>
    </xf>
    <xf numFmtId="0" fontId="39" fillId="0" borderId="0" xfId="0" applyFont="1"/>
    <xf numFmtId="0" fontId="26" fillId="0" borderId="1" xfId="0" applyFont="1" applyBorder="1" applyAlignment="1">
      <alignment horizontal="center"/>
    </xf>
    <xf numFmtId="0" fontId="26" fillId="0" borderId="1" xfId="0" applyFont="1" applyBorder="1" applyAlignment="1" applyProtection="1">
      <alignment horizontal="center"/>
      <protection hidden="1"/>
    </xf>
    <xf numFmtId="0" fontId="26" fillId="0" borderId="1" xfId="0" applyFont="1" applyBorder="1" applyAlignment="1" applyProtection="1">
      <alignment horizontal="center"/>
      <protection locked="0"/>
    </xf>
    <xf numFmtId="0" fontId="42" fillId="0" borderId="1" xfId="0" applyFont="1" applyBorder="1" applyAlignment="1" applyProtection="1">
      <alignment horizontal="center"/>
      <protection locked="0"/>
    </xf>
    <xf numFmtId="0" fontId="42" fillId="0" borderId="1" xfId="0" applyFont="1" applyBorder="1" applyAlignment="1">
      <alignment horizontal="center"/>
    </xf>
    <xf numFmtId="0" fontId="42" fillId="0" borderId="1" xfId="0" applyFont="1" applyBorder="1"/>
    <xf numFmtId="0" fontId="42" fillId="0" borderId="0" xfId="0" applyFont="1" applyAlignment="1" applyProtection="1">
      <alignment horizontal="center"/>
      <protection hidden="1"/>
    </xf>
    <xf numFmtId="0" fontId="42" fillId="0" borderId="1" xfId="0" applyFont="1" applyBorder="1" applyAlignment="1" applyProtection="1">
      <alignment horizontal="center"/>
      <protection hidden="1"/>
    </xf>
    <xf numFmtId="0" fontId="36" fillId="15" borderId="1" xfId="0" applyFont="1" applyFill="1" applyBorder="1"/>
    <xf numFmtId="14" fontId="3" fillId="9" borderId="1" xfId="0" applyNumberFormat="1" applyFont="1" applyFill="1" applyBorder="1" applyProtection="1">
      <protection locked="0"/>
    </xf>
    <xf numFmtId="0" fontId="3" fillId="6" borderId="1" xfId="0" applyFont="1" applyFill="1" applyBorder="1"/>
    <xf numFmtId="14" fontId="3" fillId="0" borderId="0" xfId="0" applyNumberFormat="1" applyFont="1"/>
    <xf numFmtId="0" fontId="0" fillId="17" borderId="0" xfId="0" applyFill="1"/>
    <xf numFmtId="0" fontId="0" fillId="17" borderId="8" xfId="0" applyFill="1" applyBorder="1"/>
    <xf numFmtId="0" fontId="44" fillId="17" borderId="9" xfId="0" applyFont="1" applyFill="1" applyBorder="1"/>
    <xf numFmtId="0" fontId="0" fillId="17" borderId="9" xfId="0" applyFill="1" applyBorder="1"/>
    <xf numFmtId="0" fontId="0" fillId="17" borderId="10" xfId="0" applyFill="1" applyBorder="1"/>
    <xf numFmtId="0" fontId="0" fillId="17" borderId="11" xfId="0" applyFill="1" applyBorder="1"/>
    <xf numFmtId="0" fontId="0" fillId="17" borderId="12" xfId="0" applyFill="1" applyBorder="1"/>
    <xf numFmtId="0" fontId="0" fillId="17" borderId="13" xfId="0" applyFill="1" applyBorder="1"/>
    <xf numFmtId="0" fontId="0" fillId="17" borderId="14" xfId="0" applyFill="1" applyBorder="1"/>
    <xf numFmtId="0" fontId="0" fillId="17" borderId="15" xfId="0" applyFill="1" applyBorder="1"/>
    <xf numFmtId="14" fontId="15" fillId="6" borderId="1" xfId="0" applyNumberFormat="1" applyFont="1" applyFill="1" applyBorder="1" applyAlignment="1">
      <alignment horizontal="left"/>
    </xf>
    <xf numFmtId="14" fontId="4" fillId="6" borderId="1" xfId="0" applyNumberFormat="1" applyFont="1" applyFill="1" applyBorder="1" applyAlignment="1">
      <alignment horizontal="left"/>
    </xf>
    <xf numFmtId="14" fontId="3" fillId="0" borderId="0" xfId="0" applyNumberFormat="1" applyFont="1" applyAlignment="1">
      <alignment horizontal="left"/>
    </xf>
    <xf numFmtId="0" fontId="29" fillId="12" borderId="1" xfId="0" applyFont="1" applyFill="1" applyBorder="1" applyAlignment="1">
      <alignment horizontal="center"/>
    </xf>
    <xf numFmtId="0" fontId="29" fillId="12" borderId="1" xfId="0" applyFont="1" applyFill="1" applyBorder="1" applyAlignment="1">
      <alignment horizontal="left"/>
    </xf>
    <xf numFmtId="0" fontId="29" fillId="6" borderId="1" xfId="0" applyFont="1" applyFill="1" applyBorder="1" applyAlignment="1">
      <alignment horizontal="center"/>
    </xf>
    <xf numFmtId="0" fontId="29" fillId="6" borderId="1" xfId="0" applyFont="1" applyFill="1" applyBorder="1" applyAlignment="1">
      <alignment horizontal="left"/>
    </xf>
    <xf numFmtId="0" fontId="29" fillId="17" borderId="1" xfId="0" applyFont="1" applyFill="1" applyBorder="1" applyAlignment="1">
      <alignment horizontal="center"/>
    </xf>
    <xf numFmtId="0" fontId="29" fillId="17" borderId="1" xfId="0" applyFont="1" applyFill="1" applyBorder="1" applyAlignment="1">
      <alignment horizontal="left"/>
    </xf>
    <xf numFmtId="0" fontId="30" fillId="17" borderId="1" xfId="0" applyFont="1" applyFill="1" applyBorder="1" applyAlignment="1" applyProtection="1">
      <alignment horizontal="center"/>
      <protection locked="0" hidden="1"/>
    </xf>
    <xf numFmtId="0" fontId="29" fillId="17" borderId="1" xfId="0" applyFont="1" applyFill="1" applyBorder="1" applyAlignment="1" applyProtection="1">
      <alignment horizontal="center"/>
      <protection locked="0" hidden="1"/>
    </xf>
    <xf numFmtId="0" fontId="30" fillId="17" borderId="1" xfId="0" applyFont="1" applyFill="1" applyBorder="1" applyAlignment="1" applyProtection="1">
      <alignment horizontal="left"/>
      <protection locked="0" hidden="1"/>
    </xf>
    <xf numFmtId="0" fontId="30" fillId="6" borderId="1" xfId="0" applyFont="1" applyFill="1" applyBorder="1" applyAlignment="1" applyProtection="1">
      <alignment horizontal="center"/>
      <protection locked="0" hidden="1"/>
    </xf>
    <xf numFmtId="0" fontId="29" fillId="6" borderId="1" xfId="0" applyFont="1" applyFill="1" applyBorder="1" applyAlignment="1" applyProtection="1">
      <alignment horizontal="center"/>
      <protection locked="0" hidden="1"/>
    </xf>
    <xf numFmtId="0" fontId="30" fillId="6" borderId="1" xfId="0" applyFont="1" applyFill="1" applyBorder="1" applyAlignment="1" applyProtection="1">
      <alignment horizontal="left"/>
      <protection locked="0" hidden="1"/>
    </xf>
    <xf numFmtId="0" fontId="30" fillId="12" borderId="1" xfId="0" applyFont="1" applyFill="1" applyBorder="1" applyAlignment="1" applyProtection="1">
      <alignment horizontal="center"/>
      <protection locked="0" hidden="1"/>
    </xf>
    <xf numFmtId="0" fontId="29" fillId="12" borderId="1" xfId="0" applyFont="1" applyFill="1" applyBorder="1" applyAlignment="1" applyProtection="1">
      <alignment horizontal="center"/>
      <protection locked="0" hidden="1"/>
    </xf>
    <xf numFmtId="0" fontId="30" fillId="12" borderId="1" xfId="0" applyFont="1" applyFill="1" applyBorder="1" applyAlignment="1" applyProtection="1">
      <alignment horizontal="left"/>
      <protection locked="0" hidden="1"/>
    </xf>
    <xf numFmtId="9" fontId="0" fillId="0" borderId="0" xfId="0" applyNumberFormat="1"/>
    <xf numFmtId="0" fontId="46" fillId="0" borderId="0" xfId="0" applyFont="1"/>
    <xf numFmtId="0" fontId="47" fillId="0" borderId="0" xfId="0" applyFont="1"/>
    <xf numFmtId="168" fontId="0" fillId="0" borderId="0" xfId="0" applyNumberFormat="1"/>
    <xf numFmtId="166" fontId="0" fillId="9" borderId="1" xfId="0" applyNumberFormat="1" applyFill="1" applyBorder="1"/>
    <xf numFmtId="0" fontId="0" fillId="6" borderId="1" xfId="0" applyFill="1" applyBorder="1"/>
    <xf numFmtId="9" fontId="0" fillId="6" borderId="1" xfId="0" applyNumberFormat="1" applyFill="1" applyBorder="1"/>
    <xf numFmtId="0" fontId="49" fillId="6" borderId="1" xfId="0" applyFont="1" applyFill="1" applyBorder="1"/>
    <xf numFmtId="166" fontId="0" fillId="6" borderId="1" xfId="0" applyNumberFormat="1" applyFill="1" applyBorder="1"/>
    <xf numFmtId="166" fontId="49" fillId="6" borderId="1" xfId="0" applyNumberFormat="1" applyFont="1" applyFill="1" applyBorder="1"/>
    <xf numFmtId="166" fontId="2" fillId="6" borderId="1" xfId="0" applyNumberFormat="1" applyFont="1" applyFill="1" applyBorder="1"/>
    <xf numFmtId="166" fontId="49" fillId="6" borderId="0" xfId="0" applyNumberFormat="1" applyFont="1" applyFill="1"/>
    <xf numFmtId="166" fontId="0" fillId="6" borderId="0" xfId="0" applyNumberFormat="1" applyFill="1"/>
    <xf numFmtId="9" fontId="0" fillId="12" borderId="1" xfId="0" applyNumberFormat="1" applyFill="1" applyBorder="1"/>
    <xf numFmtId="0" fontId="49" fillId="12" borderId="1" xfId="0" applyFont="1" applyFill="1" applyBorder="1"/>
    <xf numFmtId="168" fontId="0" fillId="12" borderId="1" xfId="0" applyNumberFormat="1" applyFill="1" applyBorder="1"/>
    <xf numFmtId="167" fontId="0" fillId="12" borderId="1" xfId="0" applyNumberFormat="1" applyFill="1" applyBorder="1"/>
    <xf numFmtId="166" fontId="49" fillId="12" borderId="1" xfId="0" applyNumberFormat="1" applyFont="1" applyFill="1" applyBorder="1"/>
    <xf numFmtId="166" fontId="0" fillId="12" borderId="1" xfId="0" applyNumberFormat="1" applyFill="1" applyBorder="1"/>
    <xf numFmtId="0" fontId="1" fillId="12" borderId="1" xfId="0" applyFont="1" applyFill="1" applyBorder="1" applyAlignment="1" applyProtection="1">
      <alignment horizontal="center"/>
      <protection hidden="1"/>
    </xf>
    <xf numFmtId="0" fontId="0" fillId="12" borderId="1" xfId="0" applyFill="1" applyBorder="1" applyAlignment="1" applyProtection="1">
      <alignment horizontal="center"/>
      <protection locked="0"/>
    </xf>
    <xf numFmtId="0" fontId="1" fillId="12" borderId="1" xfId="0" applyFont="1" applyFill="1" applyBorder="1" applyProtection="1">
      <protection locked="0"/>
    </xf>
    <xf numFmtId="14" fontId="0" fillId="9" borderId="1" xfId="0" applyNumberFormat="1" applyFill="1" applyBorder="1" applyProtection="1">
      <protection locked="0"/>
    </xf>
    <xf numFmtId="9" fontId="0" fillId="9" borderId="1" xfId="0" applyNumberFormat="1" applyFill="1" applyBorder="1" applyProtection="1">
      <protection locked="0"/>
    </xf>
    <xf numFmtId="1" fontId="0" fillId="9" borderId="1" xfId="0" applyNumberFormat="1" applyFill="1" applyBorder="1" applyProtection="1">
      <protection locked="0"/>
    </xf>
    <xf numFmtId="166" fontId="0" fillId="9" borderId="1" xfId="0" applyNumberFormat="1" applyFill="1" applyBorder="1" applyProtection="1">
      <protection locked="0"/>
    </xf>
    <xf numFmtId="171" fontId="0" fillId="9" borderId="1" xfId="0" applyNumberFormat="1" applyFill="1" applyBorder="1" applyProtection="1">
      <protection locked="0"/>
    </xf>
    <xf numFmtId="9" fontId="0" fillId="9" borderId="1" xfId="1" applyFont="1" applyFill="1" applyBorder="1" applyProtection="1">
      <protection locked="0"/>
    </xf>
    <xf numFmtId="0" fontId="29" fillId="0" borderId="1" xfId="0" applyFont="1" applyBorder="1" applyAlignment="1">
      <alignment horizontal="center"/>
    </xf>
    <xf numFmtId="0" fontId="19" fillId="2" borderId="0" xfId="0" applyFont="1" applyFill="1" applyAlignment="1">
      <alignment horizontal="center"/>
    </xf>
    <xf numFmtId="0" fontId="25" fillId="0" borderId="1" xfId="0" applyFont="1" applyBorder="1" applyAlignment="1">
      <alignment horizontal="left"/>
    </xf>
    <xf numFmtId="0" fontId="26" fillId="0" borderId="1" xfId="0" applyFont="1" applyBorder="1" applyAlignment="1" applyProtection="1">
      <alignment horizontal="left"/>
      <protection locked="0"/>
    </xf>
    <xf numFmtId="0" fontId="15" fillId="0" borderId="8" xfId="0" applyFont="1" applyBorder="1"/>
    <xf numFmtId="0" fontId="19" fillId="0" borderId="9" xfId="0" applyFont="1" applyBorder="1"/>
    <xf numFmtId="0" fontId="19" fillId="0" borderId="11" xfId="0" applyFont="1" applyBorder="1" applyAlignment="1">
      <alignment horizontal="center"/>
    </xf>
    <xf numFmtId="0" fontId="19" fillId="0" borderId="12" xfId="0" applyFont="1" applyBorder="1" applyAlignment="1">
      <alignment horizontal="center"/>
    </xf>
    <xf numFmtId="2" fontId="19" fillId="2" borderId="16" xfId="0" applyNumberFormat="1" applyFont="1" applyFill="1" applyBorder="1" applyAlignment="1">
      <alignment horizontal="center"/>
    </xf>
    <xf numFmtId="0" fontId="23" fillId="0" borderId="11" xfId="0" applyFont="1" applyBorder="1" applyAlignment="1">
      <alignment horizontal="left" vertical="top"/>
    </xf>
    <xf numFmtId="0" fontId="23" fillId="0" borderId="11" xfId="0" applyFont="1" applyBorder="1" applyAlignment="1">
      <alignment horizontal="left" vertical="center"/>
    </xf>
    <xf numFmtId="0" fontId="34" fillId="0" borderId="0" xfId="0" applyFont="1" applyAlignment="1">
      <alignment horizontal="center"/>
    </xf>
    <xf numFmtId="2" fontId="34" fillId="0" borderId="16" xfId="0" applyNumberFormat="1" applyFont="1" applyBorder="1" applyAlignment="1">
      <alignment horizontal="center"/>
    </xf>
    <xf numFmtId="2" fontId="19" fillId="0" borderId="12" xfId="0" applyNumberFormat="1" applyFont="1" applyBorder="1" applyAlignment="1">
      <alignment horizontal="center"/>
    </xf>
    <xf numFmtId="0" fontId="19" fillId="0" borderId="13" xfId="0" applyFont="1" applyBorder="1" applyAlignment="1">
      <alignment horizontal="center"/>
    </xf>
    <xf numFmtId="0" fontId="19" fillId="0" borderId="14" xfId="0" applyFont="1" applyBorder="1" applyAlignment="1">
      <alignment horizontal="center"/>
    </xf>
    <xf numFmtId="0" fontId="19" fillId="0" borderId="15" xfId="0" applyFont="1" applyBorder="1" applyAlignment="1">
      <alignment horizontal="center"/>
    </xf>
    <xf numFmtId="0" fontId="50" fillId="0" borderId="0" xfId="0" applyFont="1" applyAlignment="1">
      <alignment horizontal="center"/>
    </xf>
    <xf numFmtId="2" fontId="50" fillId="0" borderId="1" xfId="0" applyNumberFormat="1" applyFont="1" applyBorder="1" applyAlignment="1">
      <alignment horizontal="center"/>
    </xf>
    <xf numFmtId="2" fontId="50" fillId="2" borderId="16" xfId="0" applyNumberFormat="1" applyFont="1" applyFill="1" applyBorder="1" applyAlignment="1">
      <alignment horizontal="center"/>
    </xf>
    <xf numFmtId="0" fontId="19" fillId="16" borderId="0" xfId="0" applyFont="1" applyFill="1" applyAlignment="1">
      <alignment horizontal="center"/>
    </xf>
    <xf numFmtId="0" fontId="29" fillId="0" borderId="1" xfId="0" applyFont="1" applyBorder="1" applyAlignment="1">
      <alignment horizontal="left"/>
    </xf>
    <xf numFmtId="0" fontId="51" fillId="0" borderId="0" xfId="0" applyFont="1"/>
    <xf numFmtId="0" fontId="52" fillId="0" borderId="0" xfId="0" applyFont="1"/>
    <xf numFmtId="0" fontId="53" fillId="0" borderId="0" xfId="0" applyFont="1"/>
    <xf numFmtId="0" fontId="56" fillId="0" borderId="0" xfId="0" applyFont="1"/>
    <xf numFmtId="0" fontId="57" fillId="0" borderId="0" xfId="0" applyFont="1" applyAlignment="1">
      <alignment horizontal="left"/>
    </xf>
    <xf numFmtId="0" fontId="58" fillId="0" borderId="0" xfId="0" applyFont="1" applyAlignment="1">
      <alignment horizontal="center"/>
    </xf>
    <xf numFmtId="0" fontId="0" fillId="9" borderId="1" xfId="0" applyFill="1" applyBorder="1" applyAlignment="1">
      <alignment horizontal="center"/>
    </xf>
    <xf numFmtId="0" fontId="2" fillId="9" borderId="1" xfId="0" applyFont="1" applyFill="1" applyBorder="1" applyAlignment="1">
      <alignment horizontal="center"/>
    </xf>
    <xf numFmtId="15" fontId="0" fillId="9" borderId="1" xfId="0" applyNumberFormat="1" applyFill="1" applyBorder="1" applyAlignment="1">
      <alignment horizontal="center"/>
    </xf>
    <xf numFmtId="165" fontId="18" fillId="6" borderId="1" xfId="0" applyNumberFormat="1" applyFont="1" applyFill="1" applyBorder="1"/>
    <xf numFmtId="165" fontId="4" fillId="6" borderId="1" xfId="0" applyNumberFormat="1" applyFont="1" applyFill="1" applyBorder="1" applyAlignment="1">
      <alignment horizontal="center"/>
    </xf>
    <xf numFmtId="165" fontId="3" fillId="9" borderId="1" xfId="0" applyNumberFormat="1" applyFont="1" applyFill="1" applyBorder="1" applyProtection="1">
      <protection locked="0"/>
    </xf>
    <xf numFmtId="165" fontId="3" fillId="0" borderId="0" xfId="0" applyNumberFormat="1" applyFont="1" applyAlignment="1">
      <alignment horizontal="center"/>
    </xf>
    <xf numFmtId="0" fontId="9" fillId="0" borderId="2" xfId="0" applyFont="1" applyBorder="1" applyAlignment="1">
      <alignment horizontal="center"/>
    </xf>
    <xf numFmtId="0" fontId="9" fillId="0" borderId="2" xfId="0" applyFont="1" applyBorder="1"/>
    <xf numFmtId="0" fontId="11" fillId="6" borderId="1" xfId="0" applyFont="1" applyFill="1" applyBorder="1" applyAlignment="1">
      <alignment horizontal="center"/>
    </xf>
    <xf numFmtId="0" fontId="12" fillId="6" borderId="1" xfId="0" applyFont="1" applyFill="1" applyBorder="1" applyAlignment="1">
      <alignment horizontal="center"/>
    </xf>
    <xf numFmtId="0" fontId="13" fillId="6" borderId="1" xfId="0" applyFont="1" applyFill="1" applyBorder="1" applyAlignment="1">
      <alignment horizontal="center" vertical="top"/>
    </xf>
    <xf numFmtId="0" fontId="13" fillId="6" borderId="1" xfId="0" applyFont="1" applyFill="1" applyBorder="1" applyAlignment="1">
      <alignment horizontal="center"/>
    </xf>
    <xf numFmtId="0" fontId="0" fillId="6" borderId="1" xfId="0" applyFill="1" applyBorder="1" applyAlignment="1">
      <alignment horizontal="center"/>
    </xf>
    <xf numFmtId="0" fontId="8" fillId="8" borderId="4" xfId="0" applyFont="1" applyFill="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2" xfId="0" applyFont="1" applyBorder="1" applyAlignment="1">
      <alignment horizontal="center" vertical="center"/>
    </xf>
    <xf numFmtId="0" fontId="9" fillId="0" borderId="7" xfId="0" applyFont="1" applyBorder="1" applyAlignment="1">
      <alignment horizontal="center" vertical="center"/>
    </xf>
    <xf numFmtId="0" fontId="19" fillId="2" borderId="0" xfId="0" applyFont="1" applyFill="1" applyAlignment="1">
      <alignment horizontal="center"/>
    </xf>
    <xf numFmtId="0" fontId="19" fillId="16" borderId="9" xfId="0" applyFont="1" applyFill="1" applyBorder="1" applyAlignment="1">
      <alignment horizontal="center"/>
    </xf>
    <xf numFmtId="0" fontId="19" fillId="16" borderId="10" xfId="0" applyFont="1" applyFill="1" applyBorder="1" applyAlignment="1">
      <alignment horizontal="center"/>
    </xf>
    <xf numFmtId="0" fontId="19" fillId="2" borderId="12" xfId="0" applyFont="1" applyFill="1" applyBorder="1" applyAlignment="1">
      <alignment horizontal="center"/>
    </xf>
    <xf numFmtId="0" fontId="19" fillId="16" borderId="0" xfId="0" applyFont="1" applyFill="1" applyAlignment="1">
      <alignment horizontal="center"/>
    </xf>
    <xf numFmtId="0" fontId="8" fillId="7" borderId="0" xfId="0" applyFont="1" applyFill="1" applyAlignment="1">
      <alignment horizontal="center" vertical="center"/>
    </xf>
    <xf numFmtId="0" fontId="9" fillId="7" borderId="0" xfId="0" applyFont="1" applyFill="1" applyAlignment="1">
      <alignment horizontal="center" vertical="center"/>
    </xf>
    <xf numFmtId="0" fontId="9" fillId="7" borderId="2" xfId="0" applyFont="1" applyFill="1" applyBorder="1" applyAlignment="1">
      <alignment horizontal="center" vertical="center"/>
    </xf>
    <xf numFmtId="169" fontId="54" fillId="0" borderId="1" xfId="0" applyNumberFormat="1" applyFont="1" applyBorder="1"/>
    <xf numFmtId="0" fontId="53" fillId="0" borderId="1" xfId="0" applyFont="1" applyBorder="1"/>
    <xf numFmtId="169" fontId="55" fillId="0" borderId="1" xfId="0" applyNumberFormat="1" applyFont="1" applyBorder="1"/>
    <xf numFmtId="169" fontId="54" fillId="16" borderId="1" xfId="0" applyNumberFormat="1" applyFont="1" applyFill="1" applyBorder="1"/>
    <xf numFmtId="0" fontId="53" fillId="16" borderId="1" xfId="0" applyFont="1" applyFill="1" applyBorder="1"/>
    <xf numFmtId="169" fontId="55" fillId="16" borderId="17" xfId="0" applyNumberFormat="1" applyFont="1" applyFill="1" applyBorder="1"/>
    <xf numFmtId="169" fontId="55" fillId="16" borderId="18" xfId="0" applyNumberFormat="1" applyFont="1" applyFill="1" applyBorder="1"/>
    <xf numFmtId="0" fontId="40" fillId="0" borderId="1" xfId="0" applyFont="1" applyBorder="1" applyAlignment="1">
      <alignment horizontal="center" vertical="center"/>
    </xf>
    <xf numFmtId="0" fontId="41" fillId="0" borderId="1" xfId="0" applyFont="1" applyBorder="1" applyAlignment="1">
      <alignment horizontal="center" vertical="center"/>
    </xf>
    <xf numFmtId="0" fontId="39" fillId="0" borderId="1" xfId="0" applyFont="1" applyBorder="1"/>
    <xf numFmtId="0" fontId="40" fillId="0" borderId="2" xfId="0" applyFont="1" applyBorder="1" applyAlignment="1">
      <alignment horizontal="center"/>
    </xf>
    <xf numFmtId="0" fontId="40" fillId="0" borderId="2" xfId="0" applyFont="1" applyBorder="1"/>
    <xf numFmtId="0" fontId="40" fillId="0" borderId="0" xfId="0" applyFont="1" applyAlignment="1">
      <alignment horizontal="center" vertical="center"/>
    </xf>
    <xf numFmtId="0" fontId="41" fillId="0" borderId="0" xfId="0" applyFont="1" applyAlignment="1">
      <alignment horizontal="center" vertical="center"/>
    </xf>
    <xf numFmtId="0" fontId="41" fillId="0" borderId="2" xfId="0" applyFont="1" applyBorder="1" applyAlignment="1">
      <alignment horizontal="center" vertical="center"/>
    </xf>
    <xf numFmtId="0" fontId="43" fillId="15" borderId="2" xfId="0" applyFont="1" applyFill="1" applyBorder="1" applyAlignment="1">
      <alignment horizontal="center"/>
    </xf>
    <xf numFmtId="0" fontId="0" fillId="0" borderId="2" xfId="0" applyBorder="1" applyAlignment="1">
      <alignment horizontal="center"/>
    </xf>
    <xf numFmtId="0" fontId="22" fillId="0" borderId="2" xfId="0" applyFont="1" applyBorder="1" applyAlignment="1">
      <alignment horizontal="center" vertical="center"/>
    </xf>
  </cellXfs>
  <cellStyles count="2">
    <cellStyle name="Normal" xfId="0" builtinId="0"/>
    <cellStyle name="Pourcentage" xfId="1" builtinId="5"/>
  </cellStyles>
  <dxfs count="2">
    <dxf>
      <fill>
        <patternFill patternType="none">
          <bgColor indexed="65"/>
        </patternFill>
      </fill>
      <border>
        <left style="thin">
          <color indexed="64"/>
        </left>
        <right style="thin">
          <color indexed="64"/>
        </right>
        <top style="hair">
          <color indexed="64"/>
        </top>
        <bottom style="hair">
          <color indexed="64"/>
        </bottom>
      </border>
    </dxf>
    <dxf>
      <fill>
        <patternFill>
          <bgColor indexed="41"/>
        </patternFill>
      </fill>
    </dxf>
  </dxfs>
  <tableStyles count="0" defaultTableStyle="TableStyleMedium9"/>
  <colors>
    <mruColors>
      <color rgb="FF00FF00"/>
      <color rgb="FF66FF33"/>
      <color rgb="FFCCC0DA"/>
      <color rgb="FF538DD5"/>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419100</xdr:colOff>
          <xdr:row>6</xdr:row>
          <xdr:rowOff>180975</xdr:rowOff>
        </xdr:from>
        <xdr:to>
          <xdr:col>6</xdr:col>
          <xdr:colOff>9525</xdr:colOff>
          <xdr:row>10</xdr:row>
          <xdr:rowOff>152400</xdr:rowOff>
        </xdr:to>
        <xdr:sp macro="" textlink="">
          <xdr:nvSpPr>
            <xdr:cNvPr id="21505" name="Button 1" hidden="1">
              <a:extLst>
                <a:ext uri="{63B3BB69-23CF-44E3-9099-C40C66FF867C}">
                  <a14:compatExt spid="_x0000_s21505"/>
                </a:ext>
                <a:ext uri="{FF2B5EF4-FFF2-40B4-BE49-F238E27FC236}">
                  <a16:creationId xmlns:a16="http://schemas.microsoft.com/office/drawing/2014/main" id="{00000000-0008-0000-0000-0000015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Bilan d'ouverture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504825</xdr:colOff>
          <xdr:row>6</xdr:row>
          <xdr:rowOff>142875</xdr:rowOff>
        </xdr:from>
        <xdr:to>
          <xdr:col>10</xdr:col>
          <xdr:colOff>9525</xdr:colOff>
          <xdr:row>10</xdr:row>
          <xdr:rowOff>161925</xdr:rowOff>
        </xdr:to>
        <xdr:sp macro="" textlink="">
          <xdr:nvSpPr>
            <xdr:cNvPr id="21506" name="Button 2" hidden="1">
              <a:extLst>
                <a:ext uri="{63B3BB69-23CF-44E3-9099-C40C66FF867C}">
                  <a14:compatExt spid="_x0000_s21506"/>
                </a:ext>
                <a:ext uri="{FF2B5EF4-FFF2-40B4-BE49-F238E27FC236}">
                  <a16:creationId xmlns:a16="http://schemas.microsoft.com/office/drawing/2014/main" id="{00000000-0008-0000-0000-0000025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Résultat / compte de gestion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400050</xdr:colOff>
          <xdr:row>11</xdr:row>
          <xdr:rowOff>85725</xdr:rowOff>
        </xdr:from>
        <xdr:to>
          <xdr:col>5</xdr:col>
          <xdr:colOff>847725</xdr:colOff>
          <xdr:row>15</xdr:row>
          <xdr:rowOff>104775</xdr:rowOff>
        </xdr:to>
        <xdr:sp macro="" textlink="">
          <xdr:nvSpPr>
            <xdr:cNvPr id="21507" name="Button 3" hidden="1">
              <a:extLst>
                <a:ext uri="{63B3BB69-23CF-44E3-9099-C40C66FF867C}">
                  <a14:compatExt spid="_x0000_s21507"/>
                </a:ext>
                <a:ext uri="{FF2B5EF4-FFF2-40B4-BE49-F238E27FC236}">
                  <a16:creationId xmlns:a16="http://schemas.microsoft.com/office/drawing/2014/main" id="{00000000-0008-0000-0000-0000035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Journal d'opérations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409575</xdr:colOff>
          <xdr:row>16</xdr:row>
          <xdr:rowOff>104775</xdr:rowOff>
        </xdr:from>
        <xdr:to>
          <xdr:col>6</xdr:col>
          <xdr:colOff>19050</xdr:colOff>
          <xdr:row>20</xdr:row>
          <xdr:rowOff>0</xdr:rowOff>
        </xdr:to>
        <xdr:sp macro="" textlink="">
          <xdr:nvSpPr>
            <xdr:cNvPr id="21508" name="Button 4" hidden="1">
              <a:extLst>
                <a:ext uri="{63B3BB69-23CF-44E3-9099-C40C66FF867C}">
                  <a14:compatExt spid="_x0000_s21508"/>
                </a:ext>
                <a:ext uri="{FF2B5EF4-FFF2-40B4-BE49-F238E27FC236}">
                  <a16:creationId xmlns:a16="http://schemas.microsoft.com/office/drawing/2014/main" id="{00000000-0008-0000-0000-0000045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Tenue de caisse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476250</xdr:colOff>
          <xdr:row>11</xdr:row>
          <xdr:rowOff>123825</xdr:rowOff>
        </xdr:from>
        <xdr:to>
          <xdr:col>10</xdr:col>
          <xdr:colOff>9525</xdr:colOff>
          <xdr:row>15</xdr:row>
          <xdr:rowOff>76200</xdr:rowOff>
        </xdr:to>
        <xdr:sp macro="" textlink="">
          <xdr:nvSpPr>
            <xdr:cNvPr id="21509" name="Button 5" hidden="1">
              <a:extLst>
                <a:ext uri="{63B3BB69-23CF-44E3-9099-C40C66FF867C}">
                  <a14:compatExt spid="_x0000_s21509"/>
                </a:ext>
                <a:ext uri="{FF2B5EF4-FFF2-40B4-BE49-F238E27FC236}">
                  <a16:creationId xmlns:a16="http://schemas.microsoft.com/office/drawing/2014/main" id="{00000000-0008-0000-0000-0000055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Bilan de Clôture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504825</xdr:colOff>
          <xdr:row>16</xdr:row>
          <xdr:rowOff>95250</xdr:rowOff>
        </xdr:from>
        <xdr:to>
          <xdr:col>10</xdr:col>
          <xdr:colOff>0</xdr:colOff>
          <xdr:row>20</xdr:row>
          <xdr:rowOff>28575</xdr:rowOff>
        </xdr:to>
        <xdr:sp macro="" textlink="">
          <xdr:nvSpPr>
            <xdr:cNvPr id="21510" name="Button 6" hidden="1">
              <a:extLst>
                <a:ext uri="{63B3BB69-23CF-44E3-9099-C40C66FF867C}">
                  <a14:compatExt spid="_x0000_s21510"/>
                </a:ext>
                <a:ext uri="{FF2B5EF4-FFF2-40B4-BE49-F238E27FC236}">
                  <a16:creationId xmlns:a16="http://schemas.microsoft.com/office/drawing/2014/main" id="{00000000-0008-0000-0000-0000065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Membres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400050</xdr:colOff>
          <xdr:row>20</xdr:row>
          <xdr:rowOff>152400</xdr:rowOff>
        </xdr:from>
        <xdr:to>
          <xdr:col>6</xdr:col>
          <xdr:colOff>9525</xdr:colOff>
          <xdr:row>24</xdr:row>
          <xdr:rowOff>104775</xdr:rowOff>
        </xdr:to>
        <xdr:sp macro="" textlink="">
          <xdr:nvSpPr>
            <xdr:cNvPr id="21511" name="Button 7" hidden="1">
              <a:extLst>
                <a:ext uri="{63B3BB69-23CF-44E3-9099-C40C66FF867C}">
                  <a14:compatExt spid="_x0000_s21511"/>
                </a:ext>
                <a:ext uri="{FF2B5EF4-FFF2-40B4-BE49-F238E27FC236}">
                  <a16:creationId xmlns:a16="http://schemas.microsoft.com/office/drawing/2014/main" id="{00000000-0008-0000-0000-0000075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Imprimer documents annuels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523875</xdr:colOff>
          <xdr:row>20</xdr:row>
          <xdr:rowOff>161925</xdr:rowOff>
        </xdr:from>
        <xdr:to>
          <xdr:col>10</xdr:col>
          <xdr:colOff>0</xdr:colOff>
          <xdr:row>24</xdr:row>
          <xdr:rowOff>76200</xdr:rowOff>
        </xdr:to>
        <xdr:sp macro="" textlink="">
          <xdr:nvSpPr>
            <xdr:cNvPr id="21512" name="Button 8" hidden="1">
              <a:extLst>
                <a:ext uri="{63B3BB69-23CF-44E3-9099-C40C66FF867C}">
                  <a14:compatExt spid="_x0000_s21512"/>
                </a:ext>
                <a:ext uri="{FF2B5EF4-FFF2-40B4-BE49-F238E27FC236}">
                  <a16:creationId xmlns:a16="http://schemas.microsoft.com/office/drawing/2014/main" id="{00000000-0008-0000-0000-0000085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Amortissements et Budget</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28575</xdr:colOff>
      <xdr:row>15</xdr:row>
      <xdr:rowOff>152399</xdr:rowOff>
    </xdr:from>
    <xdr:to>
      <xdr:col>5</xdr:col>
      <xdr:colOff>904875</xdr:colOff>
      <xdr:row>29</xdr:row>
      <xdr:rowOff>142875</xdr:rowOff>
    </xdr:to>
    <xdr:sp macro="" textlink="">
      <xdr:nvSpPr>
        <xdr:cNvPr id="5" name="AutoShape 2">
          <a:extLst>
            <a:ext uri="{FF2B5EF4-FFF2-40B4-BE49-F238E27FC236}">
              <a16:creationId xmlns:a16="http://schemas.microsoft.com/office/drawing/2014/main" id="{00000000-0008-0000-0100-000005000000}"/>
            </a:ext>
          </a:extLst>
        </xdr:cNvPr>
        <xdr:cNvSpPr>
          <a:spLocks noChangeArrowheads="1"/>
        </xdr:cNvSpPr>
      </xdr:nvSpPr>
      <xdr:spPr bwMode="auto">
        <a:xfrm>
          <a:off x="4657725" y="3362324"/>
          <a:ext cx="4057650" cy="2657476"/>
        </a:xfrm>
        <a:prstGeom prst="roundRect">
          <a:avLst>
            <a:gd name="adj" fmla="val 16667"/>
          </a:avLst>
        </a:prstGeom>
        <a:solidFill>
          <a:srgbClr val="FFFF99"/>
        </a:solidFill>
        <a:ln w="9525">
          <a:solidFill>
            <a:srgbClr val="000000"/>
          </a:solidFill>
          <a:round/>
          <a:headEnd/>
          <a:tailEnd/>
        </a:ln>
        <a:effectLst>
          <a:outerShdw dist="107763" dir="18900000" algn="ctr" rotWithShape="0">
            <a:srgbClr val="808080">
              <a:alpha val="50000"/>
            </a:srgbClr>
          </a:outerShdw>
        </a:effectLst>
      </xdr:spPr>
      <xdr:txBody>
        <a:bodyPr vertOverflow="clip" wrap="square" lIns="27432" tIns="22860" rIns="0" bIns="0" anchor="t" upright="1"/>
        <a:lstStyle/>
        <a:p>
          <a:pPr algn="l" rtl="0">
            <a:defRPr sz="1000"/>
          </a:pPr>
          <a:r>
            <a:rPr lang="fr-CH" sz="1000" b="0" i="0" u="none" strike="noStrike" baseline="0">
              <a:solidFill>
                <a:srgbClr val="000000"/>
              </a:solidFill>
              <a:latin typeface="Arial"/>
              <a:cs typeface="Arial"/>
            </a:rPr>
            <a:t>Votre bilan d'ouverture en début d'exercice doit être absolument équilibré. L'écart et l'information en caractère rouge vous permet de corriger l'éventuel différence entre actifs et passifs</a:t>
          </a:r>
        </a:p>
        <a:p>
          <a:pPr algn="l" rtl="0">
            <a:defRPr sz="1000"/>
          </a:pPr>
          <a:endParaRPr lang="fr-CH" sz="1000" b="0" i="0" u="none" strike="noStrike" baseline="0">
            <a:solidFill>
              <a:srgbClr val="000000"/>
            </a:solidFill>
            <a:latin typeface="Arial"/>
            <a:cs typeface="Arial"/>
          </a:endParaRPr>
        </a:p>
        <a:p>
          <a:pPr algn="l" rtl="0">
            <a:defRPr sz="1000"/>
          </a:pPr>
          <a:r>
            <a:rPr lang="fr-CH" sz="1000" b="0" i="0" u="none" strike="noStrike" baseline="0">
              <a:solidFill>
                <a:srgbClr val="000000"/>
              </a:solidFill>
              <a:latin typeface="Arial"/>
              <a:cs typeface="Arial"/>
            </a:rPr>
            <a:t>Actifs transitoires (AT) = charges déjà payées mais ne concernant pas l'exercice en cours N donc à retirer par l'écriture AT à Charge concernée et à réintégrer à N+1 par l'écriture inverse Charge à AT</a:t>
          </a:r>
        </a:p>
        <a:p>
          <a:pPr algn="l" rtl="0">
            <a:defRPr sz="1000"/>
          </a:pPr>
          <a:r>
            <a:rPr lang="fr-CH" sz="1000" b="0" i="0" u="none" strike="noStrike" baseline="0">
              <a:solidFill>
                <a:srgbClr val="000000"/>
              </a:solidFill>
              <a:latin typeface="Arial"/>
              <a:cs typeface="Arial"/>
            </a:rPr>
            <a:t>Actifs transitoires = aussi produits à encaisser mais non encore  parvenus à la clôture de votre exercice N. AT à Produit concerné  </a:t>
          </a:r>
        </a:p>
        <a:p>
          <a:pPr algn="l" rtl="0">
            <a:defRPr sz="1000"/>
          </a:pPr>
          <a:endParaRPr lang="fr-CH" sz="1000" b="0" i="0" u="none" strike="noStrike" baseline="0">
            <a:solidFill>
              <a:srgbClr val="000000"/>
            </a:solidFill>
            <a:latin typeface="Arial"/>
            <a:cs typeface="Arial"/>
          </a:endParaRPr>
        </a:p>
        <a:p>
          <a:pPr algn="l" rtl="0">
            <a:defRPr sz="1000"/>
          </a:pPr>
          <a:r>
            <a:rPr lang="fr-CH" sz="1000" b="0" i="0" u="none" strike="noStrike" baseline="0">
              <a:solidFill>
                <a:srgbClr val="000000"/>
              </a:solidFill>
              <a:latin typeface="Arial"/>
              <a:cs typeface="Arial"/>
            </a:rPr>
            <a:t>Les passifs transitoires (PT), sont l'inverse des AT, les charges de l'exercice N non encore payées à intégrer  et les produits déjà reçus d'avance,mais ne concernant pas l'exercice à exclure. </a:t>
          </a:r>
        </a:p>
        <a:p>
          <a:pPr algn="l" rtl="0">
            <a:defRPr sz="1000"/>
          </a:pPr>
          <a:r>
            <a:rPr lang="fr-CH" sz="1000" b="0" i="0" u="none" strike="noStrike" baseline="0">
              <a:solidFill>
                <a:srgbClr val="000000"/>
              </a:solidFill>
              <a:latin typeface="Arial"/>
              <a:cs typeface="Arial"/>
            </a:rPr>
            <a:t>Charges concernée à PT </a:t>
          </a:r>
        </a:p>
        <a:p>
          <a:pPr algn="l" rtl="0">
            <a:defRPr sz="1000"/>
          </a:pPr>
          <a:r>
            <a:rPr lang="fr-CH" sz="1000" b="0" i="0" u="none" strike="noStrike" baseline="0">
              <a:solidFill>
                <a:srgbClr val="000000"/>
              </a:solidFill>
              <a:latin typeface="Arial"/>
              <a:cs typeface="Arial"/>
            </a:rPr>
            <a:t>Produit concerné à PT puis extourne en N+1  , PT à Produit concerné </a:t>
          </a:r>
        </a:p>
      </xdr:txBody>
    </xdr:sp>
    <xdr:clientData/>
  </xdr:twoCellAnchor>
  <xdr:twoCellAnchor>
    <xdr:from>
      <xdr:col>2</xdr:col>
      <xdr:colOff>781051</xdr:colOff>
      <xdr:row>11</xdr:row>
      <xdr:rowOff>142876</xdr:rowOff>
    </xdr:from>
    <xdr:to>
      <xdr:col>4</xdr:col>
      <xdr:colOff>561975</xdr:colOff>
      <xdr:row>15</xdr:row>
      <xdr:rowOff>180975</xdr:rowOff>
    </xdr:to>
    <xdr:cxnSp macro="">
      <xdr:nvCxnSpPr>
        <xdr:cNvPr id="7" name="Connecteur droit avec flèche 6">
          <a:extLst>
            <a:ext uri="{FF2B5EF4-FFF2-40B4-BE49-F238E27FC236}">
              <a16:creationId xmlns:a16="http://schemas.microsoft.com/office/drawing/2014/main" id="{00000000-0008-0000-0100-000007000000}"/>
            </a:ext>
          </a:extLst>
        </xdr:cNvPr>
        <xdr:cNvCxnSpPr/>
      </xdr:nvCxnSpPr>
      <xdr:spPr>
        <a:xfrm flipH="1" flipV="1">
          <a:off x="4200526" y="2209801"/>
          <a:ext cx="1676399" cy="8000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1857375</xdr:colOff>
      <xdr:row>11</xdr:row>
      <xdr:rowOff>76200</xdr:rowOff>
    </xdr:from>
    <xdr:to>
      <xdr:col>5</xdr:col>
      <xdr:colOff>209550</xdr:colOff>
      <xdr:row>15</xdr:row>
      <xdr:rowOff>171450</xdr:rowOff>
    </xdr:to>
    <xdr:cxnSp macro="">
      <xdr:nvCxnSpPr>
        <xdr:cNvPr id="9" name="Connecteur droit avec flèche 8">
          <a:extLst>
            <a:ext uri="{FF2B5EF4-FFF2-40B4-BE49-F238E27FC236}">
              <a16:creationId xmlns:a16="http://schemas.microsoft.com/office/drawing/2014/main" id="{00000000-0008-0000-0100-000009000000}"/>
            </a:ext>
          </a:extLst>
        </xdr:cNvPr>
        <xdr:cNvCxnSpPr/>
      </xdr:nvCxnSpPr>
      <xdr:spPr>
        <a:xfrm flipV="1">
          <a:off x="7172325" y="2143125"/>
          <a:ext cx="847725" cy="8572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7</xdr:col>
          <xdr:colOff>76200</xdr:colOff>
          <xdr:row>0</xdr:row>
          <xdr:rowOff>200025</xdr:rowOff>
        </xdr:from>
        <xdr:to>
          <xdr:col>8</xdr:col>
          <xdr:colOff>381000</xdr:colOff>
          <xdr:row>1</xdr:row>
          <xdr:rowOff>257175</xdr:rowOff>
        </xdr:to>
        <xdr:sp macro="" textlink="">
          <xdr:nvSpPr>
            <xdr:cNvPr id="12290" name="Button 2" hidden="1">
              <a:extLst>
                <a:ext uri="{63B3BB69-23CF-44E3-9099-C40C66FF867C}">
                  <a14:compatExt spid="_x0000_s12290"/>
                </a:ext>
                <a:ext uri="{FF2B5EF4-FFF2-40B4-BE49-F238E27FC236}">
                  <a16:creationId xmlns:a16="http://schemas.microsoft.com/office/drawing/2014/main" id="{00000000-0008-0000-0100-0000023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Retour Menu</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7</xdr:col>
      <xdr:colOff>104775</xdr:colOff>
      <xdr:row>5</xdr:row>
      <xdr:rowOff>0</xdr:rowOff>
    </xdr:from>
    <xdr:to>
      <xdr:col>12</xdr:col>
      <xdr:colOff>28575</xdr:colOff>
      <xdr:row>14</xdr:row>
      <xdr:rowOff>85725</xdr:rowOff>
    </xdr:to>
    <xdr:sp macro="" textlink="">
      <xdr:nvSpPr>
        <xdr:cNvPr id="2" name="AutoShape 2">
          <a:extLst>
            <a:ext uri="{FF2B5EF4-FFF2-40B4-BE49-F238E27FC236}">
              <a16:creationId xmlns:a16="http://schemas.microsoft.com/office/drawing/2014/main" id="{00000000-0008-0000-0200-000002000000}"/>
            </a:ext>
          </a:extLst>
        </xdr:cNvPr>
        <xdr:cNvSpPr>
          <a:spLocks noChangeArrowheads="1"/>
        </xdr:cNvSpPr>
      </xdr:nvSpPr>
      <xdr:spPr bwMode="auto">
        <a:xfrm>
          <a:off x="11601450" y="1152525"/>
          <a:ext cx="4057650" cy="1800225"/>
        </a:xfrm>
        <a:prstGeom prst="roundRect">
          <a:avLst>
            <a:gd name="adj" fmla="val 16667"/>
          </a:avLst>
        </a:prstGeom>
        <a:solidFill>
          <a:srgbClr val="FFFF99"/>
        </a:solidFill>
        <a:ln w="9525">
          <a:solidFill>
            <a:srgbClr val="000000"/>
          </a:solidFill>
          <a:round/>
          <a:headEnd/>
          <a:tailEnd/>
        </a:ln>
        <a:effectLst>
          <a:outerShdw dist="107763" dir="18900000" algn="ctr" rotWithShape="0">
            <a:srgbClr val="808080">
              <a:alpha val="50000"/>
            </a:srgbClr>
          </a:outerShdw>
        </a:effectLst>
      </xdr:spPr>
      <xdr:txBody>
        <a:bodyPr vertOverflow="clip" wrap="square" lIns="27432" tIns="22860" rIns="0" bIns="0" anchor="t" upright="1"/>
        <a:lstStyle/>
        <a:p>
          <a:pPr algn="l" rtl="0">
            <a:defRPr sz="1000"/>
          </a:pPr>
          <a:endParaRPr lang="fr-CH" sz="1000" b="0" i="0" u="none" strike="noStrike" baseline="0">
            <a:solidFill>
              <a:srgbClr val="000000"/>
            </a:solidFill>
            <a:latin typeface="Arial"/>
            <a:cs typeface="Arial"/>
          </a:endParaRPr>
        </a:p>
        <a:p>
          <a:pPr algn="l" rtl="0">
            <a:defRPr sz="1000"/>
          </a:pPr>
          <a:r>
            <a:rPr lang="fr-CH" sz="1000" b="0" i="0" u="none" strike="noStrike" baseline="0">
              <a:solidFill>
                <a:srgbClr val="000000"/>
              </a:solidFill>
              <a:latin typeface="Arial"/>
              <a:cs typeface="Arial"/>
            </a:rPr>
            <a:t>Pour journaliser,  seules les cellules vertes permettent cela.  Insérer la date de la facture reçue, le libellé de cette facture, le compte qui est débité, celui qui est crédité, le montant de la facture total puis valider. Les comptes crédités et débités sont vérifiés pour vous permettre de rectifier en cas d'erreur. De même, Votre bilan de clôture et votre résultat sont automatiquement vérifiés en équilibre d'où l'intérêt absolu d'observer l'alerte d'équilibre en rouge.</a:t>
          </a:r>
        </a:p>
      </xdr:txBody>
    </xdr:sp>
    <xdr:clientData/>
  </xdr:twoCellAnchor>
  <xdr:twoCellAnchor>
    <xdr:from>
      <xdr:col>6</xdr:col>
      <xdr:colOff>1552575</xdr:colOff>
      <xdr:row>1</xdr:row>
      <xdr:rowOff>180976</xdr:rowOff>
    </xdr:from>
    <xdr:to>
      <xdr:col>7</xdr:col>
      <xdr:colOff>1047750</xdr:colOff>
      <xdr:row>4</xdr:row>
      <xdr:rowOff>161925</xdr:rowOff>
    </xdr:to>
    <xdr:cxnSp macro="">
      <xdr:nvCxnSpPr>
        <xdr:cNvPr id="4" name="Connecteur droit avec flèche 3">
          <a:extLst>
            <a:ext uri="{FF2B5EF4-FFF2-40B4-BE49-F238E27FC236}">
              <a16:creationId xmlns:a16="http://schemas.microsoft.com/office/drawing/2014/main" id="{00000000-0008-0000-0200-000004000000}"/>
            </a:ext>
          </a:extLst>
        </xdr:cNvPr>
        <xdr:cNvCxnSpPr/>
      </xdr:nvCxnSpPr>
      <xdr:spPr>
        <a:xfrm flipH="1" flipV="1">
          <a:off x="11249025" y="514351"/>
          <a:ext cx="1295400" cy="6095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9526</xdr:colOff>
      <xdr:row>14</xdr:row>
      <xdr:rowOff>123825</xdr:rowOff>
    </xdr:from>
    <xdr:to>
      <xdr:col>7</xdr:col>
      <xdr:colOff>400050</xdr:colOff>
      <xdr:row>15</xdr:row>
      <xdr:rowOff>85725</xdr:rowOff>
    </xdr:to>
    <xdr:cxnSp macro="">
      <xdr:nvCxnSpPr>
        <xdr:cNvPr id="6" name="Connecteur droit avec flèche 5">
          <a:extLst>
            <a:ext uri="{FF2B5EF4-FFF2-40B4-BE49-F238E27FC236}">
              <a16:creationId xmlns:a16="http://schemas.microsoft.com/office/drawing/2014/main" id="{00000000-0008-0000-0200-000006000000}"/>
            </a:ext>
          </a:extLst>
        </xdr:cNvPr>
        <xdr:cNvCxnSpPr/>
      </xdr:nvCxnSpPr>
      <xdr:spPr>
        <a:xfrm flipH="1">
          <a:off x="11506201" y="2990850"/>
          <a:ext cx="390524" cy="1524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7</xdr:col>
          <xdr:colOff>19050</xdr:colOff>
          <xdr:row>0</xdr:row>
          <xdr:rowOff>19050</xdr:rowOff>
        </xdr:from>
        <xdr:to>
          <xdr:col>8</xdr:col>
          <xdr:colOff>114300</xdr:colOff>
          <xdr:row>1</xdr:row>
          <xdr:rowOff>0</xdr:rowOff>
        </xdr:to>
        <xdr:sp macro="" textlink="">
          <xdr:nvSpPr>
            <xdr:cNvPr id="11273" name="Button 9" hidden="1">
              <a:extLst>
                <a:ext uri="{63B3BB69-23CF-44E3-9099-C40C66FF867C}">
                  <a14:compatExt spid="_x0000_s11273"/>
                </a:ext>
                <a:ext uri="{FF2B5EF4-FFF2-40B4-BE49-F238E27FC236}">
                  <a16:creationId xmlns:a16="http://schemas.microsoft.com/office/drawing/2014/main" id="{00000000-0008-0000-0200-0000092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Retour Menu</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276225</xdr:colOff>
      <xdr:row>21</xdr:row>
      <xdr:rowOff>1</xdr:rowOff>
    </xdr:from>
    <xdr:to>
      <xdr:col>5</xdr:col>
      <xdr:colOff>666750</xdr:colOff>
      <xdr:row>24</xdr:row>
      <xdr:rowOff>76200</xdr:rowOff>
    </xdr:to>
    <xdr:sp macro="" textlink="">
      <xdr:nvSpPr>
        <xdr:cNvPr id="2" name="AutoShape 2">
          <a:extLst>
            <a:ext uri="{FF2B5EF4-FFF2-40B4-BE49-F238E27FC236}">
              <a16:creationId xmlns:a16="http://schemas.microsoft.com/office/drawing/2014/main" id="{00000000-0008-0000-0300-000002000000}"/>
            </a:ext>
          </a:extLst>
        </xdr:cNvPr>
        <xdr:cNvSpPr>
          <a:spLocks noChangeArrowheads="1"/>
        </xdr:cNvSpPr>
      </xdr:nvSpPr>
      <xdr:spPr bwMode="auto">
        <a:xfrm>
          <a:off x="276225" y="4362451"/>
          <a:ext cx="8153400" cy="647699"/>
        </a:xfrm>
        <a:prstGeom prst="roundRect">
          <a:avLst>
            <a:gd name="adj" fmla="val 16667"/>
          </a:avLst>
        </a:prstGeom>
        <a:solidFill>
          <a:srgbClr val="FFFF99"/>
        </a:solidFill>
        <a:ln w="9525">
          <a:solidFill>
            <a:srgbClr val="000000"/>
          </a:solidFill>
          <a:round/>
          <a:headEnd/>
          <a:tailEnd/>
        </a:ln>
        <a:effectLst>
          <a:outerShdw dist="107763" dir="18900000" algn="ctr" rotWithShape="0">
            <a:srgbClr val="808080">
              <a:alpha val="50000"/>
            </a:srgbClr>
          </a:outerShdw>
        </a:effectLst>
      </xdr:spPr>
      <xdr:txBody>
        <a:bodyPr vertOverflow="clip" wrap="square" lIns="27432" tIns="22860" rIns="0" bIns="0" anchor="t" upright="1"/>
        <a:lstStyle/>
        <a:p>
          <a:pPr algn="l" rtl="0">
            <a:defRPr sz="1000"/>
          </a:pPr>
          <a:endParaRPr lang="fr-CH" sz="1000" b="0" i="0" u="none" strike="noStrike" baseline="0">
            <a:solidFill>
              <a:srgbClr val="000000"/>
            </a:solidFill>
            <a:latin typeface="Arial"/>
            <a:cs typeface="Arial"/>
          </a:endParaRPr>
        </a:p>
        <a:p>
          <a:pPr algn="l" rtl="0">
            <a:defRPr sz="1000"/>
          </a:pPr>
          <a:r>
            <a:rPr lang="fr-CH" sz="1000" b="0" i="0" u="none" strike="noStrike" baseline="0">
              <a:solidFill>
                <a:srgbClr val="000000"/>
              </a:solidFill>
              <a:latin typeface="Arial"/>
              <a:cs typeface="Arial"/>
            </a:rPr>
            <a:t>Les comptes de gestion du compte de résultat ci-dessus peuvent être modifiés si besoin. Les associations subsistant de plus en plus grâce aux fonds alloués pour un projet précis, vous devez faire la différence entre les subventions allouées à tels ou tels projets et les subventions libres. </a:t>
          </a:r>
        </a:p>
      </xdr:txBody>
    </xdr:sp>
    <xdr:clientData/>
  </xdr:twoCellAnchor>
  <xdr:twoCellAnchor>
    <xdr:from>
      <xdr:col>0</xdr:col>
      <xdr:colOff>581025</xdr:colOff>
      <xdr:row>18</xdr:row>
      <xdr:rowOff>0</xdr:rowOff>
    </xdr:from>
    <xdr:to>
      <xdr:col>1</xdr:col>
      <xdr:colOff>142875</xdr:colOff>
      <xdr:row>21</xdr:row>
      <xdr:rowOff>38100</xdr:rowOff>
    </xdr:to>
    <xdr:cxnSp macro="">
      <xdr:nvCxnSpPr>
        <xdr:cNvPr id="4" name="Connecteur droit avec flèche 3">
          <a:extLst>
            <a:ext uri="{FF2B5EF4-FFF2-40B4-BE49-F238E27FC236}">
              <a16:creationId xmlns:a16="http://schemas.microsoft.com/office/drawing/2014/main" id="{00000000-0008-0000-0300-000004000000}"/>
            </a:ext>
          </a:extLst>
        </xdr:cNvPr>
        <xdr:cNvCxnSpPr/>
      </xdr:nvCxnSpPr>
      <xdr:spPr>
        <a:xfrm flipH="1" flipV="1">
          <a:off x="581025" y="3714750"/>
          <a:ext cx="285750" cy="6858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1800225</xdr:colOff>
      <xdr:row>18</xdr:row>
      <xdr:rowOff>57150</xdr:rowOff>
    </xdr:from>
    <xdr:to>
      <xdr:col>4</xdr:col>
      <xdr:colOff>1943100</xdr:colOff>
      <xdr:row>20</xdr:row>
      <xdr:rowOff>152400</xdr:rowOff>
    </xdr:to>
    <xdr:cxnSp macro="">
      <xdr:nvCxnSpPr>
        <xdr:cNvPr id="6" name="Connecteur droit avec flèche 5">
          <a:extLst>
            <a:ext uri="{FF2B5EF4-FFF2-40B4-BE49-F238E27FC236}">
              <a16:creationId xmlns:a16="http://schemas.microsoft.com/office/drawing/2014/main" id="{00000000-0008-0000-0300-000006000000}"/>
            </a:ext>
          </a:extLst>
        </xdr:cNvPr>
        <xdr:cNvCxnSpPr/>
      </xdr:nvCxnSpPr>
      <xdr:spPr>
        <a:xfrm flipV="1">
          <a:off x="7153275" y="3848100"/>
          <a:ext cx="142875" cy="4762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8</xdr:col>
          <xdr:colOff>9525</xdr:colOff>
          <xdr:row>1</xdr:row>
          <xdr:rowOff>19050</xdr:rowOff>
        </xdr:from>
        <xdr:to>
          <xdr:col>9</xdr:col>
          <xdr:colOff>628650</xdr:colOff>
          <xdr:row>2</xdr:row>
          <xdr:rowOff>76200</xdr:rowOff>
        </xdr:to>
        <xdr:sp macro="" textlink="">
          <xdr:nvSpPr>
            <xdr:cNvPr id="13314" name="Button 2" hidden="1">
              <a:extLst>
                <a:ext uri="{63B3BB69-23CF-44E3-9099-C40C66FF867C}">
                  <a14:compatExt spid="_x0000_s13314"/>
                </a:ext>
                <a:ext uri="{FF2B5EF4-FFF2-40B4-BE49-F238E27FC236}">
                  <a16:creationId xmlns:a16="http://schemas.microsoft.com/office/drawing/2014/main" id="{00000000-0008-0000-0300-0000023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Retour Menu</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38100</xdr:colOff>
          <xdr:row>1</xdr:row>
          <xdr:rowOff>66675</xdr:rowOff>
        </xdr:from>
        <xdr:to>
          <xdr:col>8</xdr:col>
          <xdr:colOff>371475</xdr:colOff>
          <xdr:row>1</xdr:row>
          <xdr:rowOff>285750</xdr:rowOff>
        </xdr:to>
        <xdr:sp macro="" textlink="">
          <xdr:nvSpPr>
            <xdr:cNvPr id="22529" name="Button 1" hidden="1">
              <a:extLst>
                <a:ext uri="{63B3BB69-23CF-44E3-9099-C40C66FF867C}">
                  <a14:compatExt spid="_x0000_s22529"/>
                </a:ext>
                <a:ext uri="{FF2B5EF4-FFF2-40B4-BE49-F238E27FC236}">
                  <a16:creationId xmlns:a16="http://schemas.microsoft.com/office/drawing/2014/main" id="{00000000-0008-0000-0400-0000015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Retour Menu</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85725</xdr:colOff>
          <xdr:row>1</xdr:row>
          <xdr:rowOff>38100</xdr:rowOff>
        </xdr:from>
        <xdr:to>
          <xdr:col>9</xdr:col>
          <xdr:colOff>704850</xdr:colOff>
          <xdr:row>1</xdr:row>
          <xdr:rowOff>390525</xdr:rowOff>
        </xdr:to>
        <xdr:sp macro="" textlink="">
          <xdr:nvSpPr>
            <xdr:cNvPr id="14338" name="Button 2" hidden="1">
              <a:extLst>
                <a:ext uri="{63B3BB69-23CF-44E3-9099-C40C66FF867C}">
                  <a14:compatExt spid="_x0000_s14338"/>
                </a:ext>
                <a:ext uri="{FF2B5EF4-FFF2-40B4-BE49-F238E27FC236}">
                  <a16:creationId xmlns:a16="http://schemas.microsoft.com/office/drawing/2014/main" id="{00000000-0008-0000-0500-0000023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Retour Menu</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171450</xdr:colOff>
          <xdr:row>1</xdr:row>
          <xdr:rowOff>76200</xdr:rowOff>
        </xdr:from>
        <xdr:to>
          <xdr:col>8</xdr:col>
          <xdr:colOff>600075</xdr:colOff>
          <xdr:row>3</xdr:row>
          <xdr:rowOff>142875</xdr:rowOff>
        </xdr:to>
        <xdr:sp macro="" textlink="">
          <xdr:nvSpPr>
            <xdr:cNvPr id="23553" name="Button 1" hidden="1">
              <a:extLst>
                <a:ext uri="{63B3BB69-23CF-44E3-9099-C40C66FF867C}">
                  <a14:compatExt spid="_x0000_s23553"/>
                </a:ext>
                <a:ext uri="{FF2B5EF4-FFF2-40B4-BE49-F238E27FC236}">
                  <a16:creationId xmlns:a16="http://schemas.microsoft.com/office/drawing/2014/main" id="{00000000-0008-0000-0600-0000015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Retour Menu</a:t>
              </a:r>
            </a:p>
          </xdr:txBody>
        </xdr:sp>
        <xdr:clientData fPrintsWithSheet="0"/>
      </xdr:twoCellAnchor>
    </mc:Choice>
    <mc:Fallback/>
  </mc:AlternateContent>
  <xdr:twoCellAnchor>
    <xdr:from>
      <xdr:col>6</xdr:col>
      <xdr:colOff>647700</xdr:colOff>
      <xdr:row>28</xdr:row>
      <xdr:rowOff>19049</xdr:rowOff>
    </xdr:from>
    <xdr:to>
      <xdr:col>11</xdr:col>
      <xdr:colOff>19050</xdr:colOff>
      <xdr:row>40</xdr:row>
      <xdr:rowOff>123824</xdr:rowOff>
    </xdr:to>
    <xdr:sp macro="" textlink="">
      <xdr:nvSpPr>
        <xdr:cNvPr id="3" name="AutoShape 2">
          <a:extLst>
            <a:ext uri="{FF2B5EF4-FFF2-40B4-BE49-F238E27FC236}">
              <a16:creationId xmlns:a16="http://schemas.microsoft.com/office/drawing/2014/main" id="{00000000-0008-0000-0600-000003000000}"/>
            </a:ext>
          </a:extLst>
        </xdr:cNvPr>
        <xdr:cNvSpPr>
          <a:spLocks noChangeArrowheads="1"/>
        </xdr:cNvSpPr>
      </xdr:nvSpPr>
      <xdr:spPr bwMode="auto">
        <a:xfrm>
          <a:off x="8296275" y="5353049"/>
          <a:ext cx="3181350" cy="2390775"/>
        </a:xfrm>
        <a:prstGeom prst="roundRect">
          <a:avLst>
            <a:gd name="adj" fmla="val 16667"/>
          </a:avLst>
        </a:prstGeom>
        <a:solidFill>
          <a:srgbClr val="FFFF99"/>
        </a:solidFill>
        <a:ln w="9525">
          <a:solidFill>
            <a:srgbClr val="000000"/>
          </a:solidFill>
          <a:round/>
          <a:headEnd/>
          <a:tailEnd/>
        </a:ln>
        <a:effectLst>
          <a:outerShdw dist="107763" dir="18900000" algn="ctr" rotWithShape="0">
            <a:srgbClr val="808080">
              <a:alpha val="50000"/>
            </a:srgbClr>
          </a:outerShdw>
        </a:effectLst>
      </xdr:spPr>
      <xdr:txBody>
        <a:bodyPr vertOverflow="clip" wrap="square" lIns="27432" tIns="22860" rIns="0" bIns="0" anchor="t" upright="1"/>
        <a:lstStyle/>
        <a:p>
          <a:pPr algn="l" rtl="0">
            <a:defRPr sz="1000"/>
          </a:pPr>
          <a:r>
            <a:rPr lang="fr-CH" sz="1000" b="0" i="0" u="none" strike="noStrike" baseline="0">
              <a:solidFill>
                <a:srgbClr val="000000"/>
              </a:solidFill>
              <a:latin typeface="Arial"/>
              <a:cs typeface="Arial"/>
            </a:rPr>
            <a:t>Amortissement linéaire ou dégressif sur les actifs en cas de possession d'actifs. De fois la date d'achat de l'actif ne correspond pas à sa date de mis en service, d'où son amortissement au prorata temporis. Insérez en cellule verte, le prix d'acquisition frais et montage inclus, le taux, la date de mise en service (ici acheté le 6 mai mais mise en service que le 1er juin) et la date de clôture du bilan.  Le tableau calcul et décompte l'amortissement. Le choix du type d'amortissement est laissé libre pour percevoir leurs conséquences sur le résultat. Un actif amorti mais encore utilisé doit demeurer au bilan pour 1 CHF (CO)</a:t>
          </a:r>
        </a:p>
      </xdr:txBody>
    </xdr:sp>
    <xdr:clientData/>
  </xdr:twoCellAnchor>
  <xdr:twoCellAnchor>
    <xdr:from>
      <xdr:col>6</xdr:col>
      <xdr:colOff>28575</xdr:colOff>
      <xdr:row>24</xdr:row>
      <xdr:rowOff>123825</xdr:rowOff>
    </xdr:from>
    <xdr:to>
      <xdr:col>7</xdr:col>
      <xdr:colOff>504825</xdr:colOff>
      <xdr:row>28</xdr:row>
      <xdr:rowOff>9525</xdr:rowOff>
    </xdr:to>
    <xdr:cxnSp macro="">
      <xdr:nvCxnSpPr>
        <xdr:cNvPr id="4" name="Connecteur droit avec flèche 3">
          <a:extLst>
            <a:ext uri="{FF2B5EF4-FFF2-40B4-BE49-F238E27FC236}">
              <a16:creationId xmlns:a16="http://schemas.microsoft.com/office/drawing/2014/main" id="{00000000-0008-0000-0600-000004000000}"/>
            </a:ext>
          </a:extLst>
        </xdr:cNvPr>
        <xdr:cNvCxnSpPr/>
      </xdr:nvCxnSpPr>
      <xdr:spPr>
        <a:xfrm>
          <a:off x="7677150" y="4695825"/>
          <a:ext cx="1238250" cy="6477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57150</xdr:colOff>
      <xdr:row>40</xdr:row>
      <xdr:rowOff>57150</xdr:rowOff>
    </xdr:from>
    <xdr:to>
      <xdr:col>7</xdr:col>
      <xdr:colOff>552450</xdr:colOff>
      <xdr:row>44</xdr:row>
      <xdr:rowOff>76200</xdr:rowOff>
    </xdr:to>
    <xdr:cxnSp macro="">
      <xdr:nvCxnSpPr>
        <xdr:cNvPr id="8" name="Connecteur droit avec flèche 7">
          <a:extLst>
            <a:ext uri="{FF2B5EF4-FFF2-40B4-BE49-F238E27FC236}">
              <a16:creationId xmlns:a16="http://schemas.microsoft.com/office/drawing/2014/main" id="{00000000-0008-0000-0600-000008000000}"/>
            </a:ext>
          </a:extLst>
        </xdr:cNvPr>
        <xdr:cNvCxnSpPr/>
      </xdr:nvCxnSpPr>
      <xdr:spPr>
        <a:xfrm flipV="1">
          <a:off x="7705725" y="7677150"/>
          <a:ext cx="1257300" cy="7810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47625</xdr:colOff>
          <xdr:row>1</xdr:row>
          <xdr:rowOff>19050</xdr:rowOff>
        </xdr:from>
        <xdr:to>
          <xdr:col>11</xdr:col>
          <xdr:colOff>47625</xdr:colOff>
          <xdr:row>2</xdr:row>
          <xdr:rowOff>66675</xdr:rowOff>
        </xdr:to>
        <xdr:sp macro="" textlink="">
          <xdr:nvSpPr>
            <xdr:cNvPr id="20482" name="Button 2" hidden="1">
              <a:extLst>
                <a:ext uri="{63B3BB69-23CF-44E3-9099-C40C66FF867C}">
                  <a14:compatExt spid="_x0000_s20482"/>
                </a:ext>
                <a:ext uri="{FF2B5EF4-FFF2-40B4-BE49-F238E27FC236}">
                  <a16:creationId xmlns:a16="http://schemas.microsoft.com/office/drawing/2014/main" id="{00000000-0008-0000-0700-000002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Retour au Menu</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95250</xdr:colOff>
          <xdr:row>1</xdr:row>
          <xdr:rowOff>47625</xdr:rowOff>
        </xdr:from>
        <xdr:to>
          <xdr:col>10</xdr:col>
          <xdr:colOff>476250</xdr:colOff>
          <xdr:row>2</xdr:row>
          <xdr:rowOff>19050</xdr:rowOff>
        </xdr:to>
        <xdr:sp macro="" textlink="">
          <xdr:nvSpPr>
            <xdr:cNvPr id="24577" name="Button 1" hidden="1">
              <a:extLst>
                <a:ext uri="{63B3BB69-23CF-44E3-9099-C40C66FF867C}">
                  <a14:compatExt spid="_x0000_s24577"/>
                </a:ext>
                <a:ext uri="{FF2B5EF4-FFF2-40B4-BE49-F238E27FC236}">
                  <a16:creationId xmlns:a16="http://schemas.microsoft.com/office/drawing/2014/main" id="{00000000-0008-0000-0800-0000016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fr-BE" sz="1100" b="0" i="0" u="none" strike="noStrike" baseline="0">
                  <a:solidFill>
                    <a:srgbClr val="000000"/>
                  </a:solidFill>
                  <a:latin typeface="Calibri"/>
                  <a:cs typeface="Calibri"/>
                </a:rPr>
                <a:t>Retour Menu</a:t>
              </a:r>
            </a:p>
          </xdr:txBody>
        </xdr:sp>
        <xdr:clientData fPrintsWithSheet="0"/>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1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1.xml"/><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trlProp" Target="../ctrlProps/ctrlProp1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4.bin"/><Relationship Id="rId5" Type="http://schemas.openxmlformats.org/officeDocument/2006/relationships/comments" Target="../comments4.xml"/><Relationship Id="rId4" Type="http://schemas.openxmlformats.org/officeDocument/2006/relationships/ctrlProp" Target="../ctrlProps/ctrlProp1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openxmlformats.org/officeDocument/2006/relationships/ctrlProp" Target="../ctrlProps/ctrlProp1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6.bin"/><Relationship Id="rId5" Type="http://schemas.openxmlformats.org/officeDocument/2006/relationships/comments" Target="../comments5.xml"/><Relationship Id="rId4" Type="http://schemas.openxmlformats.org/officeDocument/2006/relationships/ctrlProp" Target="../ctrlProps/ctrlProp1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trlProp" Target="../ctrlProps/ctrlProp1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5"/>
  <dimension ref="C5:K25"/>
  <sheetViews>
    <sheetView topLeftCell="B1" workbookViewId="0">
      <selection activeCell="O13" sqref="O13"/>
    </sheetView>
  </sheetViews>
  <sheetFormatPr baseColWidth="10" defaultColWidth="11.42578125" defaultRowHeight="15" x14ac:dyDescent="0.25"/>
  <cols>
    <col min="1" max="16384" width="11.42578125" style="94"/>
  </cols>
  <sheetData>
    <row r="5" spans="3:11" ht="15.75" thickBot="1" x14ac:dyDescent="0.3"/>
    <row r="6" spans="3:11" ht="33.75" x14ac:dyDescent="0.5">
      <c r="C6" s="95"/>
      <c r="D6" s="96" t="s">
        <v>96</v>
      </c>
      <c r="E6" s="96"/>
      <c r="F6" s="96"/>
      <c r="G6" s="97"/>
      <c r="H6" s="97"/>
      <c r="I6" s="97"/>
      <c r="J6" s="97"/>
      <c r="K6" s="98"/>
    </row>
    <row r="7" spans="3:11" x14ac:dyDescent="0.25">
      <c r="C7" s="99"/>
      <c r="K7" s="100"/>
    </row>
    <row r="8" spans="3:11" x14ac:dyDescent="0.25">
      <c r="C8" s="99"/>
      <c r="K8" s="100"/>
    </row>
    <row r="9" spans="3:11" x14ac:dyDescent="0.25">
      <c r="C9" s="99"/>
      <c r="K9" s="100"/>
    </row>
    <row r="10" spans="3:11" x14ac:dyDescent="0.25">
      <c r="C10" s="99"/>
      <c r="K10" s="100"/>
    </row>
    <row r="11" spans="3:11" x14ac:dyDescent="0.25">
      <c r="C11" s="99"/>
      <c r="K11" s="100"/>
    </row>
    <row r="12" spans="3:11" x14ac:dyDescent="0.25">
      <c r="C12" s="99"/>
      <c r="K12" s="100"/>
    </row>
    <row r="13" spans="3:11" x14ac:dyDescent="0.25">
      <c r="C13" s="99"/>
      <c r="K13" s="100"/>
    </row>
    <row r="14" spans="3:11" x14ac:dyDescent="0.25">
      <c r="C14" s="99"/>
      <c r="K14" s="100"/>
    </row>
    <row r="15" spans="3:11" x14ac:dyDescent="0.25">
      <c r="C15" s="99"/>
      <c r="K15" s="100"/>
    </row>
    <row r="16" spans="3:11" x14ac:dyDescent="0.25">
      <c r="C16" s="99"/>
      <c r="K16" s="100"/>
    </row>
    <row r="17" spans="3:11" x14ac:dyDescent="0.25">
      <c r="C17" s="99"/>
      <c r="K17" s="100"/>
    </row>
    <row r="18" spans="3:11" x14ac:dyDescent="0.25">
      <c r="C18" s="99"/>
      <c r="K18" s="100"/>
    </row>
    <row r="19" spans="3:11" x14ac:dyDescent="0.25">
      <c r="C19" s="99"/>
      <c r="K19" s="100"/>
    </row>
    <row r="20" spans="3:11" x14ac:dyDescent="0.25">
      <c r="C20" s="99"/>
      <c r="K20" s="100"/>
    </row>
    <row r="21" spans="3:11" x14ac:dyDescent="0.25">
      <c r="C21" s="99"/>
      <c r="K21" s="100"/>
    </row>
    <row r="22" spans="3:11" x14ac:dyDescent="0.25">
      <c r="C22" s="99"/>
      <c r="K22" s="100"/>
    </row>
    <row r="23" spans="3:11" x14ac:dyDescent="0.25">
      <c r="C23" s="99"/>
      <c r="K23" s="100"/>
    </row>
    <row r="24" spans="3:11" x14ac:dyDescent="0.25">
      <c r="C24" s="99"/>
      <c r="K24" s="100"/>
    </row>
    <row r="25" spans="3:11" ht="15.75" thickBot="1" x14ac:dyDescent="0.3">
      <c r="C25" s="101"/>
      <c r="D25" s="102"/>
      <c r="E25" s="102"/>
      <c r="F25" s="102"/>
      <c r="G25" s="102"/>
      <c r="H25" s="102"/>
      <c r="I25" s="102"/>
      <c r="J25" s="102"/>
      <c r="K25" s="103"/>
    </row>
  </sheetData>
  <pageMargins left="0.7" right="0.7" top="0.75" bottom="0.75" header="0.3" footer="0.3"/>
  <pageSetup paperSize="9" orientation="portrait" horizont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21505" r:id="rId4" name="Button 1">
              <controlPr defaultSize="0" print="0" autoFill="0" autoPict="0" macro="[0]!Bouton1_Cliquer">
                <anchor moveWithCells="1" sizeWithCells="1">
                  <from>
                    <xdr:col>2</xdr:col>
                    <xdr:colOff>419100</xdr:colOff>
                    <xdr:row>6</xdr:row>
                    <xdr:rowOff>180975</xdr:rowOff>
                  </from>
                  <to>
                    <xdr:col>6</xdr:col>
                    <xdr:colOff>9525</xdr:colOff>
                    <xdr:row>10</xdr:row>
                    <xdr:rowOff>152400</xdr:rowOff>
                  </to>
                </anchor>
              </controlPr>
            </control>
          </mc:Choice>
        </mc:AlternateContent>
        <mc:AlternateContent xmlns:mc="http://schemas.openxmlformats.org/markup-compatibility/2006">
          <mc:Choice Requires="x14">
            <control shapeId="21506" r:id="rId5" name="Button 2">
              <controlPr defaultSize="0" print="0" autoFill="0" autoPict="0" macro="[0]!Bouton2_Cliquer">
                <anchor moveWithCells="1" sizeWithCells="1">
                  <from>
                    <xdr:col>6</xdr:col>
                    <xdr:colOff>504825</xdr:colOff>
                    <xdr:row>6</xdr:row>
                    <xdr:rowOff>142875</xdr:rowOff>
                  </from>
                  <to>
                    <xdr:col>10</xdr:col>
                    <xdr:colOff>9525</xdr:colOff>
                    <xdr:row>10</xdr:row>
                    <xdr:rowOff>161925</xdr:rowOff>
                  </to>
                </anchor>
              </controlPr>
            </control>
          </mc:Choice>
        </mc:AlternateContent>
        <mc:AlternateContent xmlns:mc="http://schemas.openxmlformats.org/markup-compatibility/2006">
          <mc:Choice Requires="x14">
            <control shapeId="21507" r:id="rId6" name="Button 3">
              <controlPr defaultSize="0" print="0" autoFill="0" autoPict="0" macro="[0]!Bouton3_Cliquer">
                <anchor moveWithCells="1" sizeWithCells="1">
                  <from>
                    <xdr:col>2</xdr:col>
                    <xdr:colOff>400050</xdr:colOff>
                    <xdr:row>11</xdr:row>
                    <xdr:rowOff>85725</xdr:rowOff>
                  </from>
                  <to>
                    <xdr:col>5</xdr:col>
                    <xdr:colOff>847725</xdr:colOff>
                    <xdr:row>15</xdr:row>
                    <xdr:rowOff>104775</xdr:rowOff>
                  </to>
                </anchor>
              </controlPr>
            </control>
          </mc:Choice>
        </mc:AlternateContent>
        <mc:AlternateContent xmlns:mc="http://schemas.openxmlformats.org/markup-compatibility/2006">
          <mc:Choice Requires="x14">
            <control shapeId="21508" r:id="rId7" name="Button 4">
              <controlPr defaultSize="0" print="0" autoFill="0" autoPict="0" macro="[0]!Bouton4_Cliquer">
                <anchor moveWithCells="1" sizeWithCells="1">
                  <from>
                    <xdr:col>2</xdr:col>
                    <xdr:colOff>409575</xdr:colOff>
                    <xdr:row>16</xdr:row>
                    <xdr:rowOff>104775</xdr:rowOff>
                  </from>
                  <to>
                    <xdr:col>6</xdr:col>
                    <xdr:colOff>19050</xdr:colOff>
                    <xdr:row>20</xdr:row>
                    <xdr:rowOff>0</xdr:rowOff>
                  </to>
                </anchor>
              </controlPr>
            </control>
          </mc:Choice>
        </mc:AlternateContent>
        <mc:AlternateContent xmlns:mc="http://schemas.openxmlformats.org/markup-compatibility/2006">
          <mc:Choice Requires="x14">
            <control shapeId="21509" r:id="rId8" name="Button 5">
              <controlPr defaultSize="0" print="0" autoFill="0" autoPict="0" macro="[0]!Bouton5_Cliquer">
                <anchor moveWithCells="1" sizeWithCells="1">
                  <from>
                    <xdr:col>6</xdr:col>
                    <xdr:colOff>476250</xdr:colOff>
                    <xdr:row>11</xdr:row>
                    <xdr:rowOff>123825</xdr:rowOff>
                  </from>
                  <to>
                    <xdr:col>10</xdr:col>
                    <xdr:colOff>9525</xdr:colOff>
                    <xdr:row>15</xdr:row>
                    <xdr:rowOff>76200</xdr:rowOff>
                  </to>
                </anchor>
              </controlPr>
            </control>
          </mc:Choice>
        </mc:AlternateContent>
        <mc:AlternateContent xmlns:mc="http://schemas.openxmlformats.org/markup-compatibility/2006">
          <mc:Choice Requires="x14">
            <control shapeId="21510" r:id="rId9" name="Button 6">
              <controlPr defaultSize="0" print="0" autoFill="0" autoPict="0" macro="[0]!Bouton6_Cliquer">
                <anchor moveWithCells="1" sizeWithCells="1">
                  <from>
                    <xdr:col>6</xdr:col>
                    <xdr:colOff>504825</xdr:colOff>
                    <xdr:row>16</xdr:row>
                    <xdr:rowOff>95250</xdr:rowOff>
                  </from>
                  <to>
                    <xdr:col>10</xdr:col>
                    <xdr:colOff>0</xdr:colOff>
                    <xdr:row>20</xdr:row>
                    <xdr:rowOff>28575</xdr:rowOff>
                  </to>
                </anchor>
              </controlPr>
            </control>
          </mc:Choice>
        </mc:AlternateContent>
        <mc:AlternateContent xmlns:mc="http://schemas.openxmlformats.org/markup-compatibility/2006">
          <mc:Choice Requires="x14">
            <control shapeId="21511" r:id="rId10" name="Button 7">
              <controlPr defaultSize="0" print="0" autoFill="0" autoPict="0" macro="[0]!Bouton7_Cliquer">
                <anchor moveWithCells="1" sizeWithCells="1">
                  <from>
                    <xdr:col>2</xdr:col>
                    <xdr:colOff>400050</xdr:colOff>
                    <xdr:row>20</xdr:row>
                    <xdr:rowOff>152400</xdr:rowOff>
                  </from>
                  <to>
                    <xdr:col>6</xdr:col>
                    <xdr:colOff>9525</xdr:colOff>
                    <xdr:row>24</xdr:row>
                    <xdr:rowOff>104775</xdr:rowOff>
                  </to>
                </anchor>
              </controlPr>
            </control>
          </mc:Choice>
        </mc:AlternateContent>
        <mc:AlternateContent xmlns:mc="http://schemas.openxmlformats.org/markup-compatibility/2006">
          <mc:Choice Requires="x14">
            <control shapeId="21512" r:id="rId11" name="Button 8">
              <controlPr defaultSize="0" print="0" autoFill="0" autoPict="0" macro="[0]!Bouton8_Cliquer">
                <anchor moveWithCells="1" sizeWithCells="1">
                  <from>
                    <xdr:col>6</xdr:col>
                    <xdr:colOff>523875</xdr:colOff>
                    <xdr:row>20</xdr:row>
                    <xdr:rowOff>161925</xdr:rowOff>
                  </from>
                  <to>
                    <xdr:col>10</xdr:col>
                    <xdr:colOff>0</xdr:colOff>
                    <xdr:row>24</xdr:row>
                    <xdr:rowOff>76200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tabColor rgb="FFFFFF00"/>
  </sheetPr>
  <dimension ref="A1:F50"/>
  <sheetViews>
    <sheetView workbookViewId="0">
      <selection activeCell="F8" sqref="F8"/>
    </sheetView>
  </sheetViews>
  <sheetFormatPr baseColWidth="10" defaultRowHeight="15" x14ac:dyDescent="0.25"/>
  <cols>
    <col min="1" max="1" width="10.85546875" style="1"/>
    <col min="2" max="2" width="40.42578125" style="17" customWidth="1"/>
    <col min="3" max="3" width="18.140625" style="1" customWidth="1"/>
    <col min="4" max="4" width="10.28515625" style="1" customWidth="1"/>
    <col min="5" max="5" width="37.42578125" customWidth="1"/>
    <col min="6" max="6" width="16" style="1" customWidth="1"/>
  </cols>
  <sheetData>
    <row r="1" spans="1:6" ht="26.25" x14ac:dyDescent="0.4">
      <c r="A1" s="185" t="s">
        <v>7</v>
      </c>
      <c r="B1" s="186"/>
      <c r="C1" s="185"/>
      <c r="D1" s="185"/>
      <c r="E1" s="186"/>
      <c r="F1" s="185"/>
    </row>
    <row r="2" spans="1:6" ht="31.5" customHeight="1" x14ac:dyDescent="0.25">
      <c r="A2" s="5"/>
      <c r="B2" s="15" t="s">
        <v>13</v>
      </c>
      <c r="C2" s="7" t="s">
        <v>15</v>
      </c>
      <c r="D2" s="7"/>
      <c r="E2" s="6" t="s">
        <v>14</v>
      </c>
      <c r="F2" s="7" t="s">
        <v>15</v>
      </c>
    </row>
    <row r="3" spans="1:6" x14ac:dyDescent="0.25">
      <c r="A3" s="5"/>
      <c r="B3" s="29" t="s">
        <v>12</v>
      </c>
      <c r="C3" s="5"/>
      <c r="D3" s="5"/>
      <c r="E3" s="8"/>
      <c r="F3" s="5"/>
    </row>
    <row r="4" spans="1:6" x14ac:dyDescent="0.25">
      <c r="A4" s="30">
        <v>1000</v>
      </c>
      <c r="B4" s="37" t="s">
        <v>64</v>
      </c>
      <c r="C4" s="30"/>
      <c r="D4" s="30">
        <v>2010</v>
      </c>
      <c r="E4" s="31" t="s">
        <v>65</v>
      </c>
      <c r="F4" s="30"/>
    </row>
    <row r="5" spans="1:6" x14ac:dyDescent="0.25">
      <c r="A5" s="30">
        <v>1020</v>
      </c>
      <c r="B5" s="37" t="s">
        <v>63</v>
      </c>
      <c r="C5" s="30">
        <v>333.44</v>
      </c>
      <c r="D5" s="30">
        <v>2400</v>
      </c>
      <c r="E5" s="31" t="s">
        <v>100</v>
      </c>
      <c r="F5" s="30"/>
    </row>
    <row r="6" spans="1:6" x14ac:dyDescent="0.25">
      <c r="A6" s="30">
        <v>1300</v>
      </c>
      <c r="B6" s="37" t="s">
        <v>99</v>
      </c>
      <c r="C6" s="30"/>
      <c r="D6" s="30">
        <v>2300</v>
      </c>
      <c r="E6" s="31" t="s">
        <v>97</v>
      </c>
      <c r="F6" s="30"/>
    </row>
    <row r="7" spans="1:6" x14ac:dyDescent="0.25">
      <c r="A7" s="30">
        <v>1110</v>
      </c>
      <c r="B7" s="37" t="s">
        <v>62</v>
      </c>
      <c r="C7" s="30"/>
      <c r="D7" s="30">
        <v>2950</v>
      </c>
      <c r="E7" s="31" t="s">
        <v>66</v>
      </c>
      <c r="F7" s="30"/>
    </row>
    <row r="8" spans="1:6" x14ac:dyDescent="0.25">
      <c r="A8" s="30">
        <v>1208</v>
      </c>
      <c r="B8" s="37" t="s">
        <v>42</v>
      </c>
      <c r="C8" s="30"/>
      <c r="D8" s="30">
        <v>9000</v>
      </c>
      <c r="E8" s="31" t="s">
        <v>17</v>
      </c>
      <c r="F8" s="30">
        <v>333.44</v>
      </c>
    </row>
    <row r="9" spans="1:6" x14ac:dyDescent="0.25">
      <c r="A9" s="30">
        <v>1500</v>
      </c>
      <c r="B9" s="37" t="s">
        <v>76</v>
      </c>
      <c r="C9" s="30"/>
      <c r="D9" s="30">
        <v>2800</v>
      </c>
      <c r="E9" s="31" t="s">
        <v>75</v>
      </c>
      <c r="F9" s="30"/>
    </row>
    <row r="10" spans="1:6" x14ac:dyDescent="0.25">
      <c r="A10" s="30">
        <v>1530</v>
      </c>
      <c r="B10" s="37" t="s">
        <v>70</v>
      </c>
      <c r="C10" s="30"/>
      <c r="D10" s="30"/>
      <c r="E10" s="31"/>
      <c r="F10" s="30"/>
    </row>
    <row r="11" spans="1:6" x14ac:dyDescent="0.25">
      <c r="A11" s="5"/>
      <c r="B11" s="16"/>
      <c r="C11" s="5"/>
      <c r="D11" s="5"/>
      <c r="E11" s="8"/>
      <c r="F11" s="5"/>
    </row>
    <row r="12" spans="1:6" x14ac:dyDescent="0.25">
      <c r="A12" s="5" t="s">
        <v>25</v>
      </c>
      <c r="B12" s="16"/>
      <c r="C12" s="7">
        <f>SUM(C4:C9)</f>
        <v>333.44</v>
      </c>
      <c r="D12" s="5"/>
      <c r="E12" s="6"/>
      <c r="F12" s="7">
        <f>SUM(F4:F9)</f>
        <v>333.44</v>
      </c>
    </row>
    <row r="13" spans="1:6" ht="21" x14ac:dyDescent="0.35">
      <c r="A13" s="176" t="str">
        <f>IF(C12-F12=0,"Votre bilan d'ouverture est équilibré vous pouvez poursuivre"," Déséquilibre de votre bilan d'ouverture , Equilibrer le bilan en observant l'écart actifs -passifs avant de poursuivre")</f>
        <v>Votre bilan d'ouverture est équilibré vous pouvez poursuivre</v>
      </c>
      <c r="B13" s="68"/>
      <c r="C13" s="69"/>
      <c r="D13" s="70"/>
      <c r="E13" s="71"/>
      <c r="F13" s="177">
        <f>F12-C12</f>
        <v>0</v>
      </c>
    </row>
    <row r="14" spans="1:6" x14ac:dyDescent="0.25">
      <c r="C14" s="2"/>
      <c r="E14" s="3"/>
      <c r="F14" s="3"/>
    </row>
    <row r="15" spans="1:6" x14ac:dyDescent="0.25">
      <c r="C15" s="2"/>
      <c r="E15" s="3"/>
      <c r="F15" s="3"/>
    </row>
    <row r="16" spans="1:6" x14ac:dyDescent="0.25">
      <c r="C16" s="2"/>
      <c r="E16" s="3"/>
      <c r="F16" s="3"/>
    </row>
    <row r="17" spans="1:6" x14ac:dyDescent="0.25">
      <c r="A17" s="2" t="s">
        <v>2</v>
      </c>
      <c r="B17" s="18"/>
      <c r="D17"/>
      <c r="E17" s="3"/>
      <c r="F17" s="3"/>
    </row>
    <row r="18" spans="1:6" x14ac:dyDescent="0.25">
      <c r="A18" s="25">
        <f t="shared" ref="A18:B21" si="0">A4</f>
        <v>1000</v>
      </c>
      <c r="B18" s="25" t="str">
        <f t="shared" si="0"/>
        <v>Caisse</v>
      </c>
      <c r="E18" s="3"/>
      <c r="F18" s="3"/>
    </row>
    <row r="19" spans="1:6" x14ac:dyDescent="0.25">
      <c r="A19" s="25">
        <f t="shared" si="0"/>
        <v>1020</v>
      </c>
      <c r="B19" s="25" t="str">
        <f t="shared" si="0"/>
        <v>Banque</v>
      </c>
    </row>
    <row r="20" spans="1:6" x14ac:dyDescent="0.25">
      <c r="A20" s="25">
        <f t="shared" si="0"/>
        <v>1300</v>
      </c>
      <c r="B20" s="25" t="str">
        <f t="shared" si="0"/>
        <v xml:space="preserve">Actifs transitoires </v>
      </c>
    </row>
    <row r="21" spans="1:6" x14ac:dyDescent="0.25">
      <c r="A21" s="25">
        <f t="shared" si="0"/>
        <v>1110</v>
      </c>
      <c r="B21" s="25" t="str">
        <f t="shared" si="0"/>
        <v>Cotisation en attente des membres</v>
      </c>
    </row>
    <row r="22" spans="1:6" x14ac:dyDescent="0.25">
      <c r="A22" s="25">
        <f t="shared" ref="A22:B22" si="1">A8</f>
        <v>1208</v>
      </c>
      <c r="B22" s="25" t="str">
        <f t="shared" si="1"/>
        <v>Diverses cautions versées</v>
      </c>
    </row>
    <row r="23" spans="1:6" x14ac:dyDescent="0.25">
      <c r="A23" s="25">
        <f t="shared" ref="A23:B24" si="2">A9</f>
        <v>1500</v>
      </c>
      <c r="B23" s="25" t="str">
        <f t="shared" si="2"/>
        <v>Actifs ex meuble</v>
      </c>
    </row>
    <row r="24" spans="1:6" x14ac:dyDescent="0.25">
      <c r="A24" s="25">
        <f t="shared" si="2"/>
        <v>1530</v>
      </c>
      <c r="B24" s="25" t="str">
        <f t="shared" si="2"/>
        <v>Actifs ex véhicule</v>
      </c>
    </row>
    <row r="25" spans="1:6" x14ac:dyDescent="0.25">
      <c r="A25" s="5">
        <f t="shared" ref="A25:B28" si="3">D4</f>
        <v>2010</v>
      </c>
      <c r="B25" s="5" t="str">
        <f t="shared" si="3"/>
        <v>Charges à payer et avance à rembourser</v>
      </c>
    </row>
    <row r="26" spans="1:6" x14ac:dyDescent="0.25">
      <c r="A26" s="5">
        <f t="shared" si="3"/>
        <v>2400</v>
      </c>
      <c r="B26" s="5" t="str">
        <f t="shared" si="3"/>
        <v>Dettes bancaires ou autres emprunts</v>
      </c>
    </row>
    <row r="27" spans="1:6" x14ac:dyDescent="0.25">
      <c r="A27" s="5">
        <f t="shared" si="3"/>
        <v>2300</v>
      </c>
      <c r="B27" s="5" t="str">
        <f t="shared" si="3"/>
        <v>Passifs transitoires</v>
      </c>
    </row>
    <row r="28" spans="1:6" x14ac:dyDescent="0.25">
      <c r="A28" s="5">
        <f t="shared" si="3"/>
        <v>2950</v>
      </c>
      <c r="B28" s="5" t="str">
        <f t="shared" si="3"/>
        <v>Résultat reporté</v>
      </c>
    </row>
    <row r="29" spans="1:6" x14ac:dyDescent="0.25">
      <c r="A29" s="5">
        <f t="shared" ref="A29" si="4">D8</f>
        <v>9000</v>
      </c>
      <c r="B29" s="5" t="str">
        <f t="shared" ref="B29:B30" si="5">E8</f>
        <v>Résultat</v>
      </c>
    </row>
    <row r="30" spans="1:6" x14ac:dyDescent="0.25">
      <c r="A30" s="5">
        <f t="shared" ref="A30" si="6">D9</f>
        <v>2800</v>
      </c>
      <c r="B30" s="5" t="str">
        <f t="shared" si="5"/>
        <v>Capital ou fond déposé en banque</v>
      </c>
    </row>
    <row r="31" spans="1:6" x14ac:dyDescent="0.25">
      <c r="A31" s="24">
        <f>Résultat!A6</f>
        <v>454000</v>
      </c>
      <c r="B31" s="24" t="str">
        <f>Résultat!B6</f>
        <v>Frais bénévoles PP ONSS</v>
      </c>
    </row>
    <row r="32" spans="1:6" x14ac:dyDescent="0.25">
      <c r="A32" s="24">
        <f>Résultat!A7</f>
        <v>611000</v>
      </c>
      <c r="B32" s="24" t="str">
        <f>Résultat!B7</f>
        <v xml:space="preserve">Loyer </v>
      </c>
    </row>
    <row r="33" spans="1:2" x14ac:dyDescent="0.25">
      <c r="A33" s="24">
        <f>Résultat!A8</f>
        <v>611100</v>
      </c>
      <c r="B33" s="24" t="str">
        <f>Résultat!B8</f>
        <v>Electricité, gaz</v>
      </c>
    </row>
    <row r="34" spans="1:2" x14ac:dyDescent="0.25">
      <c r="A34" s="24">
        <f>Résultat!A9</f>
        <v>611200</v>
      </c>
      <c r="B34" s="24" t="str">
        <f>Résultat!B9</f>
        <v>Charges Divers</v>
      </c>
    </row>
    <row r="35" spans="1:2" x14ac:dyDescent="0.25">
      <c r="A35" s="24">
        <f>Résultat!A10</f>
        <v>611500</v>
      </c>
      <c r="B35" s="24" t="str">
        <f>Résultat!B10</f>
        <v>Frais d'expéditions et Pub</v>
      </c>
    </row>
    <row r="36" spans="1:2" x14ac:dyDescent="0.25">
      <c r="A36" s="24">
        <f>Résultat!A11</f>
        <v>614000</v>
      </c>
      <c r="B36" s="24" t="str">
        <f>Résultat!B11</f>
        <v>Divers assurances</v>
      </c>
    </row>
    <row r="37" spans="1:2" x14ac:dyDescent="0.25">
      <c r="A37" s="24">
        <f>Résultat!A12</f>
        <v>621000</v>
      </c>
      <c r="B37" s="24" t="str">
        <f>Résultat!B12</f>
        <v>Salaire</v>
      </c>
    </row>
    <row r="38" spans="1:2" x14ac:dyDescent="0.25">
      <c r="A38" s="24">
        <f>Résultat!A13</f>
        <v>613000</v>
      </c>
      <c r="B38" s="24" t="str">
        <f>Résultat!B13</f>
        <v>Divers frais administratifs</v>
      </c>
    </row>
    <row r="39" spans="1:2" x14ac:dyDescent="0.25">
      <c r="A39" s="24">
        <f>Résultat!A14</f>
        <v>618000</v>
      </c>
      <c r="B39" s="24" t="str">
        <f>Résultat!B14</f>
        <v>Frais Bénévoles</v>
      </c>
    </row>
    <row r="40" spans="1:2" x14ac:dyDescent="0.25">
      <c r="A40" s="24">
        <f>Résultat!A15</f>
        <v>670000</v>
      </c>
      <c r="B40" s="24" t="str">
        <f>Résultat!B15</f>
        <v>ACE / mali de caisse</v>
      </c>
    </row>
    <row r="41" spans="1:2" x14ac:dyDescent="0.25">
      <c r="A41" s="24">
        <f>Résultat!A16</f>
        <v>630000</v>
      </c>
      <c r="B41" s="24" t="str">
        <f>Résultat!B16</f>
        <v>Amortissement actifs</v>
      </c>
    </row>
    <row r="42" spans="1:2" x14ac:dyDescent="0.25">
      <c r="A42" s="24">
        <f>Résultat!A17</f>
        <v>657000</v>
      </c>
      <c r="B42" s="24" t="str">
        <f>Résultat!B17</f>
        <v>Frais et charges financiers</v>
      </c>
    </row>
    <row r="43" spans="1:2" x14ac:dyDescent="0.25">
      <c r="A43" s="24">
        <f>Résultat!A18</f>
        <v>140000</v>
      </c>
      <c r="B43" s="24" t="str">
        <f>Résultat!B18</f>
        <v>Résultat avant affectation</v>
      </c>
    </row>
    <row r="44" spans="1:2" x14ac:dyDescent="0.25">
      <c r="A44" s="26">
        <f>Résultat!D12</f>
        <v>3201</v>
      </c>
      <c r="B44" s="26" t="str">
        <f>Résultat!E12</f>
        <v>Subventions obtenues projet 1</v>
      </c>
    </row>
    <row r="45" spans="1:2" x14ac:dyDescent="0.25">
      <c r="A45" s="26">
        <f>Résultat!D13</f>
        <v>3202</v>
      </c>
      <c r="B45" s="26" t="str">
        <f>Résultat!E13</f>
        <v>Subventions obtenues projet 2</v>
      </c>
    </row>
    <row r="46" spans="1:2" x14ac:dyDescent="0.25">
      <c r="A46" s="26">
        <f>Résultat!D14</f>
        <v>3203</v>
      </c>
      <c r="B46" s="26" t="str">
        <f>Résultat!E14</f>
        <v>Subventions obtenues projet 3</v>
      </c>
    </row>
    <row r="47" spans="1:2" x14ac:dyDescent="0.25">
      <c r="A47" s="26">
        <f>Résultat!D15</f>
        <v>3400</v>
      </c>
      <c r="B47" s="26" t="str">
        <f>Résultat!E15</f>
        <v>Subventions non affectées obtenues</v>
      </c>
    </row>
    <row r="48" spans="1:2" x14ac:dyDescent="0.25">
      <c r="A48" s="26">
        <f>Résultat!D16</f>
        <v>3600</v>
      </c>
      <c r="B48" s="26" t="str">
        <f>Résultat!E16</f>
        <v>Cotisations payées par les membres</v>
      </c>
    </row>
    <row r="49" spans="1:2" x14ac:dyDescent="0.25">
      <c r="A49" s="26">
        <f>Résultat!D17</f>
        <v>3630</v>
      </c>
      <c r="B49" s="26" t="str">
        <f>Résultat!E17</f>
        <v>Dons et legs obtenus / boni de caisse</v>
      </c>
    </row>
    <row r="50" spans="1:2" x14ac:dyDescent="0.25">
      <c r="A50" s="26">
        <f>Résultat!D18</f>
        <v>700000</v>
      </c>
      <c r="B50" s="26" t="str">
        <f>Résultat!E18</f>
        <v>Paiement Parents</v>
      </c>
    </row>
  </sheetData>
  <sheetProtection password="C252" sheet="1" objects="1" scenarios="1" selectLockedCells="1"/>
  <mergeCells count="1">
    <mergeCell ref="A1:F1"/>
  </mergeCells>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2290" r:id="rId3" name="Button 2">
              <controlPr defaultSize="0" print="0" autoFill="0" autoPict="0" macro="[0]!Bilanouverture_Bouton2_Cliquer">
                <anchor moveWithCells="1" sizeWithCells="1">
                  <from>
                    <xdr:col>7</xdr:col>
                    <xdr:colOff>76200</xdr:colOff>
                    <xdr:row>0</xdr:row>
                    <xdr:rowOff>200025</xdr:rowOff>
                  </from>
                  <to>
                    <xdr:col>8</xdr:col>
                    <xdr:colOff>381000</xdr:colOff>
                    <xdr:row>1</xdr:row>
                    <xdr:rowOff>257175</xdr:rowOff>
                  </to>
                </anchor>
              </controlPr>
            </control>
          </mc:Choice>
        </mc:AlternateContent>
      </controls>
    </mc:Choice>
  </mc:AlternateContent>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tabColor theme="9" tint="0.39997558519241921"/>
  </sheetPr>
  <dimension ref="A1:O365"/>
  <sheetViews>
    <sheetView workbookViewId="0">
      <selection activeCell="E18" sqref="E18"/>
    </sheetView>
  </sheetViews>
  <sheetFormatPr baseColWidth="10" defaultColWidth="10.85546875" defaultRowHeight="15" x14ac:dyDescent="0.25"/>
  <cols>
    <col min="1" max="1" width="17.5703125" style="106" customWidth="1"/>
    <col min="2" max="2" width="37.7109375" style="4" customWidth="1"/>
    <col min="3" max="3" width="13.42578125" style="67" customWidth="1"/>
    <col min="4" max="4" width="14.7109375" style="67" customWidth="1"/>
    <col min="5" max="5" width="37.140625" style="184" customWidth="1"/>
    <col min="6" max="6" width="24.85546875" style="4" customWidth="1"/>
    <col min="7" max="7" width="27" style="4" customWidth="1"/>
    <col min="8" max="8" width="18.5703125" style="4" customWidth="1"/>
    <col min="9" max="14" width="10.85546875" style="4"/>
    <col min="15" max="15" width="14" style="4" customWidth="1"/>
    <col min="16" max="16384" width="10.85546875" style="4"/>
  </cols>
  <sheetData>
    <row r="1" spans="1:15" ht="26.25" x14ac:dyDescent="0.4">
      <c r="A1" s="187" t="s">
        <v>8</v>
      </c>
      <c r="B1" s="188"/>
      <c r="C1" s="188"/>
      <c r="D1" s="189" t="s">
        <v>11</v>
      </c>
      <c r="E1" s="190"/>
      <c r="F1" s="191"/>
      <c r="G1" s="22">
        <f>Résultat!C18</f>
        <v>-74933.800000000017</v>
      </c>
      <c r="O1" s="93">
        <f>G2</f>
        <v>44562</v>
      </c>
    </row>
    <row r="2" spans="1:15" ht="19.5" x14ac:dyDescent="0.35">
      <c r="A2" s="104" t="s">
        <v>98</v>
      </c>
      <c r="B2" s="23" t="str">
        <f>IF(C2="","",VLOOKUP(C2,'Bilan Clôture'!A14:F45,2,0))</f>
        <v>Caisse</v>
      </c>
      <c r="C2" s="64">
        <v>1000</v>
      </c>
      <c r="D2" s="65">
        <f>ABS(IF(C2="","",VLOOKUP(C2,'Bilan Clôture'!A50:C63,3,0)))</f>
        <v>0</v>
      </c>
      <c r="E2" s="181" t="str">
        <f>IF('Bilan Clôture'!F11='Bilan Clôture'!C11,"Equilibre du bilan de clôture", "Deséquilibre du bilan de clôture, Vérifier les dernières écritures")</f>
        <v>Equilibre du bilan de clôture</v>
      </c>
      <c r="F2" s="92" t="s">
        <v>74</v>
      </c>
      <c r="G2" s="91">
        <v>44562</v>
      </c>
      <c r="O2" s="93">
        <f>O1+1</f>
        <v>44563</v>
      </c>
    </row>
    <row r="3" spans="1:15" x14ac:dyDescent="0.25">
      <c r="A3" s="105" t="s">
        <v>0</v>
      </c>
      <c r="B3" s="9" t="s">
        <v>1</v>
      </c>
      <c r="C3" s="66" t="s">
        <v>59</v>
      </c>
      <c r="D3" s="66" t="s">
        <v>60</v>
      </c>
      <c r="E3" s="182" t="s">
        <v>57</v>
      </c>
      <c r="F3" s="9" t="s">
        <v>4</v>
      </c>
      <c r="G3" s="9" t="s">
        <v>5</v>
      </c>
      <c r="O3" s="93">
        <f t="shared" ref="O3:O66" si="0">O2+1</f>
        <v>44564</v>
      </c>
    </row>
    <row r="4" spans="1:15" x14ac:dyDescent="0.25">
      <c r="A4" s="91">
        <v>44926</v>
      </c>
      <c r="B4" s="44" t="s">
        <v>127</v>
      </c>
      <c r="C4" s="30">
        <v>618000</v>
      </c>
      <c r="D4" s="30"/>
      <c r="E4" s="183">
        <v>0</v>
      </c>
      <c r="F4" s="19" t="s">
        <v>134</v>
      </c>
      <c r="G4" s="19" t="str">
        <f>IF(D4="","",VLOOKUP(D4,'Bilan ouverture'!$A$18:$B$49,2,0))</f>
        <v/>
      </c>
      <c r="O4" s="93">
        <f t="shared" si="0"/>
        <v>44565</v>
      </c>
    </row>
    <row r="5" spans="1:15" x14ac:dyDescent="0.25">
      <c r="A5" s="91">
        <v>44926</v>
      </c>
      <c r="B5" s="44" t="s">
        <v>128</v>
      </c>
      <c r="C5" s="30">
        <v>611000</v>
      </c>
      <c r="D5" s="30"/>
      <c r="E5" s="183">
        <f>101+39+2562.5+90+4375</f>
        <v>7167.5</v>
      </c>
      <c r="F5" s="19" t="s">
        <v>135</v>
      </c>
      <c r="G5" s="19" t="str">
        <f>IF(D5="","",VLOOKUP(D5,'Bilan ouverture'!$A$18:$B$49,2,0))</f>
        <v/>
      </c>
      <c r="O5" s="93">
        <f t="shared" si="0"/>
        <v>44566</v>
      </c>
    </row>
    <row r="6" spans="1:15" x14ac:dyDescent="0.25">
      <c r="A6" s="91">
        <v>44926</v>
      </c>
      <c r="B6" s="44" t="s">
        <v>129</v>
      </c>
      <c r="C6" s="30">
        <v>611100</v>
      </c>
      <c r="D6" s="30"/>
      <c r="E6" s="183">
        <v>0</v>
      </c>
      <c r="F6" s="19" t="s">
        <v>101</v>
      </c>
      <c r="G6" s="19" t="str">
        <f>IF(D6="","",VLOOKUP(D6,'Bilan ouverture'!$A$18:$B$49,2,0))</f>
        <v/>
      </c>
      <c r="O6" s="93">
        <f t="shared" si="0"/>
        <v>44567</v>
      </c>
    </row>
    <row r="7" spans="1:15" x14ac:dyDescent="0.25">
      <c r="A7" s="91">
        <v>44926</v>
      </c>
      <c r="B7" s="44" t="s">
        <v>130</v>
      </c>
      <c r="C7" s="30">
        <v>657000</v>
      </c>
      <c r="D7" s="30"/>
      <c r="E7" s="183">
        <f>11.25+16.34+10.89+11.25+12.71+11.25+3.63</f>
        <v>77.319999999999993</v>
      </c>
      <c r="F7" s="19" t="s">
        <v>104</v>
      </c>
      <c r="G7" s="19" t="str">
        <f>IF(D7="","",VLOOKUP(D7,'Bilan ouverture'!$A$18:$B$49,2,0))</f>
        <v/>
      </c>
      <c r="O7" s="93">
        <f t="shared" si="0"/>
        <v>44568</v>
      </c>
    </row>
    <row r="8" spans="1:15" x14ac:dyDescent="0.25">
      <c r="A8" s="91">
        <v>44926</v>
      </c>
      <c r="B8" s="44" t="s">
        <v>131</v>
      </c>
      <c r="C8" s="30"/>
      <c r="D8" s="30">
        <v>700000</v>
      </c>
      <c r="E8" s="183">
        <f>1250+2100+1824.5+1250+1360+2300+1000+300+28+875+4250+450+450+875+400+500+215+150+400+300+350+150+100+100+4375+330+400+1050-130+350+432+250+250+160+790+800+1030+445+500+500+1000+2650+1950+1695+2575+1022+296+1900+1400+722+318+2200+1201+1675+1425</f>
        <v>54538.5</v>
      </c>
      <c r="F8" s="19"/>
      <c r="G8" s="19" t="s">
        <v>136</v>
      </c>
      <c r="O8" s="93">
        <f t="shared" si="0"/>
        <v>44569</v>
      </c>
    </row>
    <row r="9" spans="1:15" x14ac:dyDescent="0.25">
      <c r="A9" s="91">
        <v>44926</v>
      </c>
      <c r="B9" s="44" t="s">
        <v>132</v>
      </c>
      <c r="C9" s="30">
        <v>611200</v>
      </c>
      <c r="D9" s="30"/>
      <c r="E9" s="183">
        <f>1269+11972.03+3613.06+544.5+155.7+4670.18+4049.26+272.25+147+11695.84+2694.66+5812.6+465.9+13.99+4375+10+431.14+540.19+1051.23+526.78</f>
        <v>54310.310000000012</v>
      </c>
      <c r="F9" s="19"/>
      <c r="G9" s="19" t="str">
        <f>IF(D9="","",VLOOKUP(D9,'Bilan ouverture'!$A$18:$B$49,2,0))</f>
        <v/>
      </c>
      <c r="O9" s="93">
        <f t="shared" si="0"/>
        <v>44570</v>
      </c>
    </row>
    <row r="10" spans="1:15" x14ac:dyDescent="0.25">
      <c r="A10" s="91">
        <v>44926</v>
      </c>
      <c r="B10" s="44" t="s">
        <v>133</v>
      </c>
      <c r="C10" s="30">
        <v>614000</v>
      </c>
      <c r="D10" s="30"/>
      <c r="E10" s="183"/>
      <c r="F10" s="19" t="s">
        <v>46</v>
      </c>
      <c r="G10" s="19" t="str">
        <f>IF(D10="","",VLOOKUP(D10,'Bilan ouverture'!$A$18:$B$49,2,0))</f>
        <v/>
      </c>
      <c r="O10" s="93">
        <f t="shared" si="0"/>
        <v>44571</v>
      </c>
    </row>
    <row r="11" spans="1:15" x14ac:dyDescent="0.25">
      <c r="A11" s="91">
        <v>44926</v>
      </c>
      <c r="B11" s="44" t="s">
        <v>139</v>
      </c>
      <c r="C11" s="30">
        <v>454000</v>
      </c>
      <c r="D11" s="30"/>
      <c r="E11" s="183"/>
      <c r="F11" s="19" t="str">
        <f>IF(C11="","",VLOOKUP(C11,'Bilan ouverture'!$A$18:$B$49,2,0))</f>
        <v>Frais bénévoles PP ONSS</v>
      </c>
      <c r="G11" s="19" t="str">
        <f>IF(D11="","",VLOOKUP(D11,'Bilan ouverture'!$A$18:$B$49,2,0))</f>
        <v/>
      </c>
      <c r="O11" s="93">
        <f t="shared" si="0"/>
        <v>44572</v>
      </c>
    </row>
    <row r="12" spans="1:15" x14ac:dyDescent="0.25">
      <c r="A12" s="91">
        <v>44926</v>
      </c>
      <c r="B12" s="44" t="s">
        <v>141</v>
      </c>
      <c r="C12" s="30">
        <v>621000</v>
      </c>
      <c r="D12" s="30"/>
      <c r="E12" s="183">
        <f>250+125+180+87.5+150+190+450+285+78.5+216+190+180+60+125+137.5+210+170+175+60.8+100+400+225+600+290+400+450+120+285+290+380+140+1000</f>
        <v>8000.3</v>
      </c>
      <c r="F12" s="19" t="str">
        <f>IF(C12="","",VLOOKUP(C12,'Bilan ouverture'!$A$18:$B$49,2,0))</f>
        <v>Salaire</v>
      </c>
      <c r="G12" s="19" t="str">
        <f>IF(D12="","",VLOOKUP(D12,'Bilan ouverture'!$A$18:$B$49,2,0))</f>
        <v/>
      </c>
      <c r="O12" s="93">
        <f t="shared" si="0"/>
        <v>44573</v>
      </c>
    </row>
    <row r="13" spans="1:15" x14ac:dyDescent="0.25">
      <c r="A13" s="91">
        <v>44926</v>
      </c>
      <c r="B13" s="44" t="s">
        <v>132</v>
      </c>
      <c r="C13" s="30">
        <v>611200</v>
      </c>
      <c r="D13" s="30"/>
      <c r="E13" s="183">
        <f>443.48+504.03+526.78+431.14+121.6+309.67+459.43+540.19+600.32+62.66+91.56+0.77+465.9+152.36+443.48+225</f>
        <v>5378.369999999999</v>
      </c>
      <c r="F13" s="19" t="s">
        <v>143</v>
      </c>
      <c r="G13" s="19" t="str">
        <f>IF(D13="","",VLOOKUP(D13,'Bilan ouverture'!$A$18:$B$49,2,0))</f>
        <v/>
      </c>
      <c r="O13" s="93">
        <f t="shared" si="0"/>
        <v>44574</v>
      </c>
    </row>
    <row r="14" spans="1:15" x14ac:dyDescent="0.25">
      <c r="A14" s="91">
        <v>44926</v>
      </c>
      <c r="B14" s="44" t="s">
        <v>131</v>
      </c>
      <c r="C14" s="30"/>
      <c r="D14" s="30">
        <v>700000</v>
      </c>
      <c r="E14" s="183">
        <f>2086+650+1178+1650+1100+150+850+2650+2900+764+1058+1950+1050+1265+950</f>
        <v>20251</v>
      </c>
      <c r="F14" s="19"/>
      <c r="G14" s="19" t="s">
        <v>136</v>
      </c>
      <c r="O14" s="93">
        <f t="shared" si="0"/>
        <v>44575</v>
      </c>
    </row>
    <row r="15" spans="1:15" x14ac:dyDescent="0.25">
      <c r="A15" s="91">
        <v>44926</v>
      </c>
      <c r="B15" s="44"/>
      <c r="C15" s="30"/>
      <c r="D15" s="30"/>
      <c r="E15" s="183"/>
      <c r="F15" s="19" t="str">
        <f>IF(C15="","",VLOOKUP(C15,'Bilan ouverture'!$A$18:$B$49,2,0))</f>
        <v/>
      </c>
      <c r="G15" s="19" t="str">
        <f>IF(D15="","",VLOOKUP(D15,'Bilan ouverture'!$A$18:$B$49,2,0))</f>
        <v/>
      </c>
      <c r="O15" s="93">
        <f t="shared" si="0"/>
        <v>44576</v>
      </c>
    </row>
    <row r="16" spans="1:15" x14ac:dyDescent="0.25">
      <c r="A16" s="91">
        <v>44926</v>
      </c>
      <c r="B16" s="44"/>
      <c r="C16" s="30"/>
      <c r="D16" s="30"/>
      <c r="E16" s="183"/>
      <c r="F16" s="19" t="str">
        <f>IF(C16="","",VLOOKUP(C16,'Bilan ouverture'!$A$18:$B$49,2,0))</f>
        <v/>
      </c>
      <c r="G16" s="19" t="str">
        <f>IF(D16="","",VLOOKUP(D16,'Bilan ouverture'!$A$18:$B$49,2,0))</f>
        <v/>
      </c>
      <c r="O16" s="93">
        <f t="shared" si="0"/>
        <v>44577</v>
      </c>
    </row>
    <row r="17" spans="1:15" x14ac:dyDescent="0.25">
      <c r="A17" s="91"/>
      <c r="B17" s="44"/>
      <c r="C17" s="30"/>
      <c r="D17" s="30"/>
      <c r="E17" s="183"/>
      <c r="F17" s="19" t="str">
        <f>IF(C17="","",VLOOKUP(C17,'Bilan ouverture'!$A$18:$B$49,2,0))</f>
        <v/>
      </c>
      <c r="G17" s="19" t="str">
        <f>IF(D17="","",VLOOKUP(D17,'Bilan ouverture'!$A$18:$B$49,2,0))</f>
        <v/>
      </c>
      <c r="O17" s="93">
        <f t="shared" si="0"/>
        <v>44578</v>
      </c>
    </row>
    <row r="18" spans="1:15" x14ac:dyDescent="0.25">
      <c r="A18" s="91"/>
      <c r="B18" s="44"/>
      <c r="C18" s="30"/>
      <c r="D18" s="30"/>
      <c r="E18" s="183">
        <f>E8+E14</f>
        <v>74789.5</v>
      </c>
      <c r="F18" s="19" t="str">
        <f>IF(C18="","",VLOOKUP(C18,'Bilan ouverture'!$A$18:$B$49,2,0))</f>
        <v/>
      </c>
      <c r="G18" s="19" t="str">
        <f>IF(D18="","",VLOOKUP(D18,'Bilan ouverture'!$A$18:$B$49,2,0))</f>
        <v/>
      </c>
      <c r="O18" s="93">
        <f t="shared" si="0"/>
        <v>44579</v>
      </c>
    </row>
    <row r="19" spans="1:15" x14ac:dyDescent="0.25">
      <c r="A19" s="91"/>
      <c r="B19" s="44"/>
      <c r="C19" s="30"/>
      <c r="D19" s="30"/>
      <c r="E19" s="183"/>
      <c r="F19" s="19" t="str">
        <f>IF(C19="","",VLOOKUP(C19,'Bilan ouverture'!$A$18:$B$49,2,0))</f>
        <v/>
      </c>
      <c r="G19" s="19" t="str">
        <f>IF(D19="","",VLOOKUP(D19,'Bilan ouverture'!$A$18:$B$49,2,0))</f>
        <v/>
      </c>
      <c r="O19" s="93">
        <f t="shared" si="0"/>
        <v>44580</v>
      </c>
    </row>
    <row r="20" spans="1:15" x14ac:dyDescent="0.25">
      <c r="A20" s="91"/>
      <c r="B20" s="44"/>
      <c r="C20" s="30"/>
      <c r="D20" s="30"/>
      <c r="E20" s="183"/>
      <c r="F20" s="19" t="str">
        <f>IF(C20="","",VLOOKUP(C20,'Bilan ouverture'!$A$18:$B$49,2,0))</f>
        <v/>
      </c>
      <c r="G20" s="19" t="str">
        <f>IF(D20="","",VLOOKUP(D20,'Bilan ouverture'!$A$18:$B$49,2,0))</f>
        <v/>
      </c>
      <c r="O20" s="93">
        <f t="shared" si="0"/>
        <v>44581</v>
      </c>
    </row>
    <row r="21" spans="1:15" x14ac:dyDescent="0.25">
      <c r="A21" s="91"/>
      <c r="B21" s="44"/>
      <c r="C21" s="30"/>
      <c r="D21" s="30"/>
      <c r="E21" s="183"/>
      <c r="F21" s="19" t="str">
        <f>IF(C21="","",VLOOKUP(C21,'Bilan ouverture'!$A$18:$B$49,2,0))</f>
        <v/>
      </c>
      <c r="G21" s="19" t="str">
        <f>IF(D21="","",VLOOKUP(D21,'Bilan ouverture'!$A$18:$B$49,2,0))</f>
        <v/>
      </c>
      <c r="H21" s="46"/>
      <c r="O21" s="93">
        <f t="shared" si="0"/>
        <v>44582</v>
      </c>
    </row>
    <row r="22" spans="1:15" x14ac:dyDescent="0.25">
      <c r="A22" s="91"/>
      <c r="B22" s="44"/>
      <c r="C22" s="30"/>
      <c r="D22" s="30"/>
      <c r="E22" s="183"/>
      <c r="F22" s="19" t="str">
        <f>IF(C22="","",VLOOKUP(C22,'Bilan ouverture'!$A$18:$B$49,2,0))</f>
        <v/>
      </c>
      <c r="G22" s="19" t="str">
        <f>IF(D22="","",VLOOKUP(D22,'Bilan ouverture'!$A$18:$B$49,2,0))</f>
        <v/>
      </c>
      <c r="O22" s="93">
        <f t="shared" si="0"/>
        <v>44583</v>
      </c>
    </row>
    <row r="23" spans="1:15" x14ac:dyDescent="0.25">
      <c r="A23" s="91"/>
      <c r="B23" s="44"/>
      <c r="C23" s="30"/>
      <c r="D23" s="30"/>
      <c r="E23" s="183"/>
      <c r="F23" s="19" t="str">
        <f>IF(C23="","",VLOOKUP(C23,'Bilan ouverture'!$A$18:$B$49,2,0))</f>
        <v/>
      </c>
      <c r="G23" s="19" t="str">
        <f>IF(D23="","",VLOOKUP(D23,'Bilan ouverture'!$A$18:$B$49,2,0))</f>
        <v/>
      </c>
      <c r="O23" s="93">
        <f t="shared" si="0"/>
        <v>44584</v>
      </c>
    </row>
    <row r="24" spans="1:15" x14ac:dyDescent="0.25">
      <c r="A24" s="91"/>
      <c r="B24" s="44"/>
      <c r="C24" s="30"/>
      <c r="D24" s="30"/>
      <c r="E24" s="183"/>
      <c r="F24" s="19" t="str">
        <f>IF(C24="","",VLOOKUP(C24,'Bilan ouverture'!$A$18:$B$49,2,0))</f>
        <v/>
      </c>
      <c r="G24" s="19" t="str">
        <f>IF(D24="","",VLOOKUP(D24,'Bilan ouverture'!$A$18:$B$49,2,0))</f>
        <v/>
      </c>
      <c r="O24" s="93">
        <f t="shared" si="0"/>
        <v>44585</v>
      </c>
    </row>
    <row r="25" spans="1:15" x14ac:dyDescent="0.25">
      <c r="A25" s="91"/>
      <c r="B25" s="44"/>
      <c r="C25" s="30"/>
      <c r="D25" s="30"/>
      <c r="E25" s="183"/>
      <c r="F25" s="19" t="str">
        <f>IF(C25="","",VLOOKUP(C25,'Bilan ouverture'!$A$18:$B$49,2,0))</f>
        <v/>
      </c>
      <c r="G25" s="19" t="str">
        <f>IF(D25="","",VLOOKUP(D25,'Bilan ouverture'!$A$18:$B$49,2,0))</f>
        <v/>
      </c>
      <c r="O25" s="93">
        <f t="shared" si="0"/>
        <v>44586</v>
      </c>
    </row>
    <row r="26" spans="1:15" x14ac:dyDescent="0.25">
      <c r="A26" s="91"/>
      <c r="B26" s="44"/>
      <c r="C26" s="30"/>
      <c r="D26" s="30"/>
      <c r="E26" s="183"/>
      <c r="F26" s="19" t="str">
        <f>IF(C26="","",VLOOKUP(C26,'Bilan ouverture'!$A$18:$B$49,2,0))</f>
        <v/>
      </c>
      <c r="G26" s="19" t="str">
        <f>IF(D26="","",VLOOKUP(D26,'Bilan ouverture'!$A$18:$B$49,2,0))</f>
        <v/>
      </c>
      <c r="O26" s="93">
        <f t="shared" si="0"/>
        <v>44587</v>
      </c>
    </row>
    <row r="27" spans="1:15" x14ac:dyDescent="0.25">
      <c r="A27" s="91"/>
      <c r="B27" s="44"/>
      <c r="C27" s="30"/>
      <c r="D27" s="30"/>
      <c r="E27" s="183"/>
      <c r="F27" s="19" t="str">
        <f>IF(C27="","",VLOOKUP(C27,'Bilan ouverture'!$A$18:$B$49,2,0))</f>
        <v/>
      </c>
      <c r="G27" s="19" t="str">
        <f>IF(D27="","",VLOOKUP(D27,'Bilan ouverture'!$A$18:$B$49,2,0))</f>
        <v/>
      </c>
      <c r="O27" s="93">
        <f t="shared" si="0"/>
        <v>44588</v>
      </c>
    </row>
    <row r="28" spans="1:15" x14ac:dyDescent="0.25">
      <c r="A28" s="91"/>
      <c r="B28" s="44"/>
      <c r="C28" s="30"/>
      <c r="D28" s="30"/>
      <c r="E28" s="183"/>
      <c r="F28" s="19" t="str">
        <f>IF(C28="","",VLOOKUP(C28,'Bilan ouverture'!$A$18:$B$49,2,0))</f>
        <v/>
      </c>
      <c r="G28" s="19" t="str">
        <f>IF(D28="","",VLOOKUP(D28,'Bilan ouverture'!$A$18:$B$49,2,0))</f>
        <v/>
      </c>
      <c r="O28" s="93">
        <f t="shared" si="0"/>
        <v>44589</v>
      </c>
    </row>
    <row r="29" spans="1:15" x14ac:dyDescent="0.25">
      <c r="A29" s="91"/>
      <c r="B29" s="44"/>
      <c r="C29" s="30"/>
      <c r="D29" s="30"/>
      <c r="E29" s="183"/>
      <c r="F29" s="19" t="str">
        <f>IF(C29="","",VLOOKUP(C29,'Bilan ouverture'!$A$18:$B$49,2,0))</f>
        <v/>
      </c>
      <c r="G29" s="19" t="str">
        <f>IF(D29="","",VLOOKUP(D29,'Bilan ouverture'!$A$18:$B$49,2,0))</f>
        <v/>
      </c>
      <c r="O29" s="93">
        <f t="shared" si="0"/>
        <v>44590</v>
      </c>
    </row>
    <row r="30" spans="1:15" x14ac:dyDescent="0.25">
      <c r="A30" s="91"/>
      <c r="B30" s="44"/>
      <c r="C30" s="30"/>
      <c r="D30" s="30"/>
      <c r="E30" s="183"/>
      <c r="F30" s="19" t="str">
        <f>IF(C30="","",VLOOKUP(C30,'Bilan ouverture'!$A$18:$B$49,2,0))</f>
        <v/>
      </c>
      <c r="G30" s="19" t="str">
        <f>IF(D30="","",VLOOKUP(D30,'Bilan ouverture'!$A$18:$B$49,2,0))</f>
        <v/>
      </c>
      <c r="K30" s="4" t="s">
        <v>54</v>
      </c>
      <c r="O30" s="93">
        <f t="shared" si="0"/>
        <v>44591</v>
      </c>
    </row>
    <row r="31" spans="1:15" x14ac:dyDescent="0.25">
      <c r="A31" s="91"/>
      <c r="B31" s="44"/>
      <c r="C31" s="30"/>
      <c r="D31" s="30"/>
      <c r="E31" s="183"/>
      <c r="F31" s="19" t="str">
        <f>IF(C31="","",VLOOKUP(C31,'Bilan ouverture'!$A$18:$B$49,2,0))</f>
        <v/>
      </c>
      <c r="G31" s="19" t="str">
        <f>IF(D31="","",VLOOKUP(D31,'Bilan ouverture'!$A$18:$B$49,2,0))</f>
        <v/>
      </c>
      <c r="O31" s="93">
        <f t="shared" si="0"/>
        <v>44592</v>
      </c>
    </row>
    <row r="32" spans="1:15" x14ac:dyDescent="0.25">
      <c r="A32" s="91"/>
      <c r="B32" s="44"/>
      <c r="C32" s="30"/>
      <c r="D32" s="30"/>
      <c r="E32" s="183"/>
      <c r="F32" s="19" t="str">
        <f>IF(C32="","",VLOOKUP(C32,'Bilan ouverture'!$A$18:$B$49,2,0))</f>
        <v/>
      </c>
      <c r="G32" s="19" t="str">
        <f>IF(D32="","",VLOOKUP(D32,'Bilan ouverture'!$A$18:$B$49,2,0))</f>
        <v/>
      </c>
      <c r="O32" s="93">
        <f t="shared" si="0"/>
        <v>44593</v>
      </c>
    </row>
    <row r="33" spans="1:15" x14ac:dyDescent="0.25">
      <c r="A33" s="91"/>
      <c r="B33" s="44"/>
      <c r="C33" s="30"/>
      <c r="D33" s="30"/>
      <c r="E33" s="183"/>
      <c r="F33" s="19" t="str">
        <f>IF(C33="","",VLOOKUP(C33,'Bilan ouverture'!$A$18:$B$49,2,0))</f>
        <v/>
      </c>
      <c r="G33" s="19" t="str">
        <f>IF(D33="","",VLOOKUP(D33,'Bilan ouverture'!$A$18:$B$49,2,0))</f>
        <v/>
      </c>
      <c r="H33" s="46"/>
      <c r="O33" s="93">
        <f t="shared" si="0"/>
        <v>44594</v>
      </c>
    </row>
    <row r="34" spans="1:15" x14ac:dyDescent="0.25">
      <c r="A34" s="91"/>
      <c r="B34" s="44"/>
      <c r="C34" s="30"/>
      <c r="D34" s="30"/>
      <c r="E34" s="183"/>
      <c r="F34" s="19" t="str">
        <f>IF(C34="","",VLOOKUP(C34,'Bilan ouverture'!$A$18:$B$49,2,0))</f>
        <v/>
      </c>
      <c r="G34" s="19" t="str">
        <f>IF(D34="","",VLOOKUP(D34,'Bilan ouverture'!$A$18:$B$49,2,0))</f>
        <v/>
      </c>
      <c r="I34" s="46"/>
      <c r="O34" s="93">
        <f t="shared" si="0"/>
        <v>44595</v>
      </c>
    </row>
    <row r="35" spans="1:15" x14ac:dyDescent="0.25">
      <c r="A35" s="91"/>
      <c r="B35" s="44"/>
      <c r="C35" s="30"/>
      <c r="D35" s="30"/>
      <c r="E35" s="183"/>
      <c r="F35" s="19" t="str">
        <f>IF(C35="","",VLOOKUP(C35,'Bilan ouverture'!$A$18:$B$49,2,0))</f>
        <v/>
      </c>
      <c r="G35" s="19" t="str">
        <f>IF(D35="","",VLOOKUP(D35,'Bilan ouverture'!$A$18:$B$49,2,0))</f>
        <v/>
      </c>
      <c r="O35" s="93">
        <f t="shared" si="0"/>
        <v>44596</v>
      </c>
    </row>
    <row r="36" spans="1:15" x14ac:dyDescent="0.25">
      <c r="A36" s="91"/>
      <c r="B36" s="44"/>
      <c r="C36" s="30"/>
      <c r="D36" s="30"/>
      <c r="E36" s="183"/>
      <c r="F36" s="19" t="str">
        <f>IF(C36="","",VLOOKUP(C36,'Bilan ouverture'!$A$18:$B$49,2,0))</f>
        <v/>
      </c>
      <c r="G36" s="19" t="str">
        <f>IF(D36="","",VLOOKUP(D36,'Bilan ouverture'!$A$18:$B$49,2,0))</f>
        <v/>
      </c>
      <c r="O36" s="93">
        <f t="shared" si="0"/>
        <v>44597</v>
      </c>
    </row>
    <row r="37" spans="1:15" x14ac:dyDescent="0.25">
      <c r="A37" s="91"/>
      <c r="B37" s="44"/>
      <c r="C37" s="30"/>
      <c r="D37" s="30"/>
      <c r="E37" s="183"/>
      <c r="F37" s="19" t="str">
        <f>IF(C37="","",VLOOKUP(C37,'Bilan ouverture'!$A$18:$B$49,2,0))</f>
        <v/>
      </c>
      <c r="G37" s="19" t="str">
        <f>IF(D37="","",VLOOKUP(D37,'Bilan ouverture'!$A$18:$B$49,2,0))</f>
        <v/>
      </c>
      <c r="O37" s="93">
        <f t="shared" si="0"/>
        <v>44598</v>
      </c>
    </row>
    <row r="38" spans="1:15" x14ac:dyDescent="0.25">
      <c r="A38" s="91"/>
      <c r="B38" s="44"/>
      <c r="C38" s="30"/>
      <c r="D38" s="30"/>
      <c r="E38" s="183"/>
      <c r="F38" s="19" t="str">
        <f>IF(C38="","",VLOOKUP(C38,'Bilan ouverture'!$A$18:$B$49,2,0))</f>
        <v/>
      </c>
      <c r="G38" s="19" t="str">
        <f>IF(D38="","",VLOOKUP(D38,'Bilan ouverture'!$A$18:$B$49,2,0))</f>
        <v/>
      </c>
      <c r="O38" s="93">
        <f t="shared" si="0"/>
        <v>44599</v>
      </c>
    </row>
    <row r="39" spans="1:15" x14ac:dyDescent="0.25">
      <c r="A39" s="91"/>
      <c r="B39" s="44"/>
      <c r="C39" s="30"/>
      <c r="D39" s="30"/>
      <c r="E39" s="183"/>
      <c r="F39" s="19" t="str">
        <f>IF(C39="","",VLOOKUP(C39,'Bilan ouverture'!$A$18:$B$49,2,0))</f>
        <v/>
      </c>
      <c r="G39" s="19" t="str">
        <f>IF(D39="","",VLOOKUP(D39,'Bilan ouverture'!$A$18:$B$49,2,0))</f>
        <v/>
      </c>
      <c r="O39" s="93">
        <f t="shared" si="0"/>
        <v>44600</v>
      </c>
    </row>
    <row r="40" spans="1:15" x14ac:dyDescent="0.25">
      <c r="A40" s="91"/>
      <c r="B40" s="44"/>
      <c r="C40" s="30"/>
      <c r="D40" s="30"/>
      <c r="E40" s="183"/>
      <c r="F40" s="19" t="str">
        <f>IF(C40="","",VLOOKUP(C40,'Bilan ouverture'!$A$18:$B$49,2,0))</f>
        <v/>
      </c>
      <c r="G40" s="19" t="str">
        <f>IF(D40="","",VLOOKUP(D40,'Bilan ouverture'!$A$18:$B$49,2,0))</f>
        <v/>
      </c>
      <c r="O40" s="93">
        <f t="shared" si="0"/>
        <v>44601</v>
      </c>
    </row>
    <row r="41" spans="1:15" x14ac:dyDescent="0.25">
      <c r="A41" s="91"/>
      <c r="B41" s="44"/>
      <c r="C41" s="30"/>
      <c r="D41" s="30"/>
      <c r="E41" s="183"/>
      <c r="F41" s="19" t="str">
        <f>IF(C41="","",VLOOKUP(C41,'Bilan ouverture'!$A$18:$B$49,2,0))</f>
        <v/>
      </c>
      <c r="G41" s="19" t="str">
        <f>IF(D41="","",VLOOKUP(D41,'Bilan ouverture'!$A$18:$B$49,2,0))</f>
        <v/>
      </c>
      <c r="O41" s="93">
        <f t="shared" si="0"/>
        <v>44602</v>
      </c>
    </row>
    <row r="42" spans="1:15" x14ac:dyDescent="0.25">
      <c r="A42" s="91"/>
      <c r="B42" s="44"/>
      <c r="C42" s="30"/>
      <c r="D42" s="30"/>
      <c r="E42" s="183"/>
      <c r="F42" s="19" t="str">
        <f>IF(C42="","",VLOOKUP(C42,'Bilan ouverture'!$A$18:$B$49,2,0))</f>
        <v/>
      </c>
      <c r="G42" s="19" t="str">
        <f>IF(D42="","",VLOOKUP(D42,'Bilan ouverture'!$A$18:$B$49,2,0))</f>
        <v/>
      </c>
      <c r="O42" s="93">
        <f t="shared" si="0"/>
        <v>44603</v>
      </c>
    </row>
    <row r="43" spans="1:15" x14ac:dyDescent="0.25">
      <c r="A43" s="91"/>
      <c r="B43" s="44"/>
      <c r="C43" s="30"/>
      <c r="D43" s="30"/>
      <c r="E43" s="183"/>
      <c r="F43" s="19" t="str">
        <f>IF(C43="","",VLOOKUP(C43,'Bilan ouverture'!$A$18:$B$49,2,0))</f>
        <v/>
      </c>
      <c r="G43" s="19" t="str">
        <f>IF(D43="","",VLOOKUP(D43,'Bilan ouverture'!$A$18:$B$49,2,0))</f>
        <v/>
      </c>
      <c r="O43" s="93">
        <f t="shared" si="0"/>
        <v>44604</v>
      </c>
    </row>
    <row r="44" spans="1:15" x14ac:dyDescent="0.25">
      <c r="A44" s="91"/>
      <c r="B44" s="44"/>
      <c r="C44" s="30"/>
      <c r="D44" s="30"/>
      <c r="E44" s="183"/>
      <c r="F44" s="19" t="str">
        <f>IF(C44="","",VLOOKUP(C44,'Bilan ouverture'!$A$18:$B$49,2,0))</f>
        <v/>
      </c>
      <c r="G44" s="19" t="str">
        <f>IF(D44="","",VLOOKUP(D44,'Bilan ouverture'!$A$18:$B$49,2,0))</f>
        <v/>
      </c>
      <c r="O44" s="93">
        <f t="shared" si="0"/>
        <v>44605</v>
      </c>
    </row>
    <row r="45" spans="1:15" x14ac:dyDescent="0.25">
      <c r="A45" s="91"/>
      <c r="B45" s="44"/>
      <c r="C45" s="30"/>
      <c r="D45" s="30"/>
      <c r="E45" s="183"/>
      <c r="F45" s="19" t="str">
        <f>IF(C45="","",VLOOKUP(C45,'Bilan ouverture'!$A$18:$B$49,2,0))</f>
        <v/>
      </c>
      <c r="G45" s="19" t="str">
        <f>IF(D45="","",VLOOKUP(D45,'Bilan ouverture'!$A$18:$B$49,2,0))</f>
        <v/>
      </c>
      <c r="O45" s="93">
        <f t="shared" si="0"/>
        <v>44606</v>
      </c>
    </row>
    <row r="46" spans="1:15" x14ac:dyDescent="0.25">
      <c r="A46" s="91"/>
      <c r="B46" s="44"/>
      <c r="C46" s="30"/>
      <c r="D46" s="30"/>
      <c r="E46" s="183"/>
      <c r="F46" s="19" t="str">
        <f>IF(C46="","",VLOOKUP(C46,'Bilan ouverture'!$A$18:$B$49,2,0))</f>
        <v/>
      </c>
      <c r="G46" s="19" t="str">
        <f>IF(D46="","",VLOOKUP(D46,'Bilan ouverture'!$A$18:$B$49,2,0))</f>
        <v/>
      </c>
      <c r="O46" s="93">
        <f t="shared" si="0"/>
        <v>44607</v>
      </c>
    </row>
    <row r="47" spans="1:15" x14ac:dyDescent="0.25">
      <c r="A47" s="91"/>
      <c r="B47" s="44"/>
      <c r="C47" s="30"/>
      <c r="D47" s="30"/>
      <c r="E47" s="183"/>
      <c r="F47" s="19" t="str">
        <f>IF(C47="","",VLOOKUP(C47,'Bilan ouverture'!$A$18:$B$49,2,0))</f>
        <v/>
      </c>
      <c r="G47" s="19" t="str">
        <f>IF(D47="","",VLOOKUP(D47,'Bilan ouverture'!$A$18:$B$49,2,0))</f>
        <v/>
      </c>
      <c r="O47" s="93">
        <f t="shared" si="0"/>
        <v>44608</v>
      </c>
    </row>
    <row r="48" spans="1:15" x14ac:dyDescent="0.25">
      <c r="A48" s="91"/>
      <c r="B48" s="44"/>
      <c r="C48" s="30"/>
      <c r="D48" s="30"/>
      <c r="E48" s="183"/>
      <c r="F48" s="19" t="str">
        <f>IF(C48="","",VLOOKUP(C48,'Bilan ouverture'!$A$18:$B$49,2,0))</f>
        <v/>
      </c>
      <c r="G48" s="19" t="str">
        <f>IF(D48="","",VLOOKUP(D48,'Bilan ouverture'!$A$18:$B$49,2,0))</f>
        <v/>
      </c>
      <c r="O48" s="93">
        <f t="shared" si="0"/>
        <v>44609</v>
      </c>
    </row>
    <row r="49" spans="1:15" x14ac:dyDescent="0.25">
      <c r="A49" s="91"/>
      <c r="B49" s="44"/>
      <c r="C49" s="30"/>
      <c r="D49" s="30"/>
      <c r="E49" s="183"/>
      <c r="F49" s="19" t="str">
        <f>IF(C49="","",VLOOKUP(C49,'Bilan ouverture'!$A$18:$B$49,2,0))</f>
        <v/>
      </c>
      <c r="G49" s="19" t="str">
        <f>IF(D49="","",VLOOKUP(D49,'Bilan ouverture'!$A$18:$B$49,2,0))</f>
        <v/>
      </c>
      <c r="O49" s="93">
        <f t="shared" si="0"/>
        <v>44610</v>
      </c>
    </row>
    <row r="50" spans="1:15" x14ac:dyDescent="0.25">
      <c r="A50" s="91"/>
      <c r="B50" s="44"/>
      <c r="C50" s="30"/>
      <c r="D50" s="30"/>
      <c r="E50" s="183"/>
      <c r="F50" s="19" t="str">
        <f>IF(C50="","",VLOOKUP(C50,'Bilan ouverture'!$A$18:$B$49,2,0))</f>
        <v/>
      </c>
      <c r="G50" s="19" t="str">
        <f>IF(D50="","",VLOOKUP(D50,'Bilan ouverture'!$A$18:$B$49,2,0))</f>
        <v/>
      </c>
      <c r="O50" s="93">
        <f t="shared" si="0"/>
        <v>44611</v>
      </c>
    </row>
    <row r="51" spans="1:15" x14ac:dyDescent="0.25">
      <c r="A51" s="91"/>
      <c r="B51" s="44"/>
      <c r="C51" s="30"/>
      <c r="D51" s="30"/>
      <c r="E51" s="183"/>
      <c r="F51" s="19" t="str">
        <f>IF(C51="","",VLOOKUP(C51,'Bilan ouverture'!$A$18:$B$49,2,0))</f>
        <v/>
      </c>
      <c r="G51" s="19" t="str">
        <f>IF(D51="","",VLOOKUP(D51,'Bilan ouverture'!$A$18:$B$49,2,0))</f>
        <v/>
      </c>
      <c r="O51" s="93">
        <f t="shared" si="0"/>
        <v>44612</v>
      </c>
    </row>
    <row r="52" spans="1:15" x14ac:dyDescent="0.25">
      <c r="A52" s="91"/>
      <c r="B52" s="44"/>
      <c r="C52" s="30"/>
      <c r="D52" s="30"/>
      <c r="E52" s="183"/>
      <c r="F52" s="19" t="str">
        <f>IF(C52="","",VLOOKUP(C52,'Bilan ouverture'!$A$18:$B$49,2,0))</f>
        <v/>
      </c>
      <c r="G52" s="19" t="str">
        <f>IF(D52="","",VLOOKUP(D52,'Bilan ouverture'!$A$18:$B$49,2,0))</f>
        <v/>
      </c>
      <c r="O52" s="93">
        <f t="shared" si="0"/>
        <v>44613</v>
      </c>
    </row>
    <row r="53" spans="1:15" x14ac:dyDescent="0.25">
      <c r="A53" s="91"/>
      <c r="B53" s="44"/>
      <c r="C53" s="30"/>
      <c r="D53" s="30"/>
      <c r="E53" s="183"/>
      <c r="F53" s="19" t="str">
        <f>IF(C53="","",VLOOKUP(C53,'Bilan ouverture'!$A$18:$B$49,2,0))</f>
        <v/>
      </c>
      <c r="G53" s="19" t="str">
        <f>IF(D53="","",VLOOKUP(D53,'Bilan ouverture'!$A$18:$B$49,2,0))</f>
        <v/>
      </c>
      <c r="O53" s="93">
        <f t="shared" si="0"/>
        <v>44614</v>
      </c>
    </row>
    <row r="54" spans="1:15" x14ac:dyDescent="0.25">
      <c r="A54" s="91"/>
      <c r="B54" s="44"/>
      <c r="C54" s="30"/>
      <c r="D54" s="30"/>
      <c r="E54" s="183"/>
      <c r="F54" s="19" t="str">
        <f>IF(C54="","",VLOOKUP(C54,'Bilan ouverture'!$A$18:$B$49,2,0))</f>
        <v/>
      </c>
      <c r="G54" s="19" t="str">
        <f>IF(D54="","",VLOOKUP(D54,'Bilan ouverture'!$A$18:$B$49,2,0))</f>
        <v/>
      </c>
      <c r="O54" s="93">
        <f t="shared" si="0"/>
        <v>44615</v>
      </c>
    </row>
    <row r="55" spans="1:15" x14ac:dyDescent="0.25">
      <c r="A55" s="91"/>
      <c r="B55" s="44"/>
      <c r="C55" s="30"/>
      <c r="D55" s="30"/>
      <c r="E55" s="183"/>
      <c r="F55" s="19" t="str">
        <f>IF(C55="","",VLOOKUP(C55,'Bilan ouverture'!$A$18:$B$49,2,0))</f>
        <v/>
      </c>
      <c r="G55" s="19" t="str">
        <f>IF(D55="","",VLOOKUP(D55,'Bilan ouverture'!$A$18:$B$49,2,0))</f>
        <v/>
      </c>
      <c r="O55" s="93">
        <f t="shared" si="0"/>
        <v>44616</v>
      </c>
    </row>
    <row r="56" spans="1:15" x14ac:dyDescent="0.25">
      <c r="A56" s="91"/>
      <c r="B56" s="44"/>
      <c r="C56" s="30"/>
      <c r="D56" s="30"/>
      <c r="E56" s="183"/>
      <c r="F56" s="19" t="str">
        <f>IF(C56="","",VLOOKUP(C56,'Bilan ouverture'!$A$18:$B$49,2,0))</f>
        <v/>
      </c>
      <c r="G56" s="19" t="str">
        <f>IF(D56="","",VLOOKUP(D56,'Bilan ouverture'!$A$18:$B$49,2,0))</f>
        <v/>
      </c>
      <c r="O56" s="93">
        <f t="shared" si="0"/>
        <v>44617</v>
      </c>
    </row>
    <row r="57" spans="1:15" x14ac:dyDescent="0.25">
      <c r="A57" s="91"/>
      <c r="B57" s="44"/>
      <c r="C57" s="30"/>
      <c r="D57" s="30"/>
      <c r="E57" s="183"/>
      <c r="F57" s="19" t="str">
        <f>IF(C57="","",VLOOKUP(C57,'Bilan ouverture'!$A$18:$B$49,2,0))</f>
        <v/>
      </c>
      <c r="G57" s="19" t="str">
        <f>IF(D57="","",VLOOKUP(D57,'Bilan ouverture'!$A$18:$B$49,2,0))</f>
        <v/>
      </c>
      <c r="O57" s="93">
        <f t="shared" si="0"/>
        <v>44618</v>
      </c>
    </row>
    <row r="58" spans="1:15" x14ac:dyDescent="0.25">
      <c r="A58" s="91"/>
      <c r="B58" s="44"/>
      <c r="C58" s="30"/>
      <c r="D58" s="30"/>
      <c r="E58" s="183"/>
      <c r="F58" s="19" t="str">
        <f>IF(C58="","",VLOOKUP(C58,'Bilan ouverture'!$A$18:$B$49,2,0))</f>
        <v/>
      </c>
      <c r="G58" s="19" t="str">
        <f>IF(D58="","",VLOOKUP(D58,'Bilan ouverture'!$A$18:$B$49,2,0))</f>
        <v/>
      </c>
      <c r="O58" s="93">
        <f t="shared" si="0"/>
        <v>44619</v>
      </c>
    </row>
    <row r="59" spans="1:15" x14ac:dyDescent="0.25">
      <c r="A59" s="91"/>
      <c r="B59" s="44"/>
      <c r="C59" s="30"/>
      <c r="D59" s="30"/>
      <c r="E59" s="183"/>
      <c r="F59" s="19" t="str">
        <f>IF(C59="","",VLOOKUP(C59,'Bilan ouverture'!$A$18:$B$49,2,0))</f>
        <v/>
      </c>
      <c r="G59" s="19" t="str">
        <f>IF(D59="","",VLOOKUP(D59,'Bilan ouverture'!$A$18:$B$49,2,0))</f>
        <v/>
      </c>
      <c r="O59" s="93">
        <f t="shared" si="0"/>
        <v>44620</v>
      </c>
    </row>
    <row r="60" spans="1:15" x14ac:dyDescent="0.25">
      <c r="A60" s="91"/>
      <c r="B60" s="44"/>
      <c r="C60" s="30"/>
      <c r="D60" s="30"/>
      <c r="E60" s="183"/>
      <c r="F60" s="19" t="str">
        <f>IF(C60="","",VLOOKUP(C60,'Bilan ouverture'!$A$18:$B$49,2,0))</f>
        <v/>
      </c>
      <c r="G60" s="19" t="str">
        <f>IF(D60="","",VLOOKUP(D60,'Bilan ouverture'!$A$18:$B$49,2,0))</f>
        <v/>
      </c>
      <c r="O60" s="93">
        <f t="shared" si="0"/>
        <v>44621</v>
      </c>
    </row>
    <row r="61" spans="1:15" x14ac:dyDescent="0.25">
      <c r="A61" s="91"/>
      <c r="B61" s="44"/>
      <c r="C61" s="30"/>
      <c r="D61" s="30"/>
      <c r="E61" s="183"/>
      <c r="F61" s="19" t="str">
        <f>IF(C61="","",VLOOKUP(C61,'Bilan ouverture'!$A$18:$B$49,2,0))</f>
        <v/>
      </c>
      <c r="G61" s="19" t="str">
        <f>IF(D61="","",VLOOKUP(D61,'Bilan ouverture'!$A$18:$B$49,2,0))</f>
        <v/>
      </c>
      <c r="O61" s="93">
        <f t="shared" si="0"/>
        <v>44622</v>
      </c>
    </row>
    <row r="62" spans="1:15" x14ac:dyDescent="0.25">
      <c r="A62" s="91"/>
      <c r="B62" s="44"/>
      <c r="C62" s="30"/>
      <c r="D62" s="30"/>
      <c r="E62" s="183"/>
      <c r="F62" s="19" t="str">
        <f>IF(C62="","",VLOOKUP(C62,'Bilan ouverture'!$A$18:$B$49,2,0))</f>
        <v/>
      </c>
      <c r="G62" s="19" t="str">
        <f>IF(D62="","",VLOOKUP(D62,'Bilan ouverture'!$A$18:$B$49,2,0))</f>
        <v/>
      </c>
      <c r="O62" s="93">
        <f t="shared" si="0"/>
        <v>44623</v>
      </c>
    </row>
    <row r="63" spans="1:15" x14ac:dyDescent="0.25">
      <c r="A63" s="91"/>
      <c r="B63" s="44"/>
      <c r="C63" s="30"/>
      <c r="D63" s="30"/>
      <c r="E63" s="183"/>
      <c r="F63" s="19" t="str">
        <f>IF(C63="","",VLOOKUP(C63,'Bilan ouverture'!$A$18:$B$49,2,0))</f>
        <v/>
      </c>
      <c r="G63" s="19" t="str">
        <f>IF(D63="","",VLOOKUP(D63,'Bilan ouverture'!$A$18:$B$49,2,0))</f>
        <v/>
      </c>
      <c r="O63" s="93">
        <f t="shared" si="0"/>
        <v>44624</v>
      </c>
    </row>
    <row r="64" spans="1:15" x14ac:dyDescent="0.25">
      <c r="A64" s="91"/>
      <c r="B64" s="44"/>
      <c r="C64" s="30"/>
      <c r="D64" s="30"/>
      <c r="E64" s="183"/>
      <c r="F64" s="19" t="str">
        <f>IF(C64="","",VLOOKUP(C64,'Bilan ouverture'!$A$18:$B$49,2,0))</f>
        <v/>
      </c>
      <c r="G64" s="19" t="str">
        <f>IF(D64="","",VLOOKUP(D64,'Bilan ouverture'!$A$18:$B$49,2,0))</f>
        <v/>
      </c>
      <c r="O64" s="93">
        <f t="shared" si="0"/>
        <v>44625</v>
      </c>
    </row>
    <row r="65" spans="1:15" x14ac:dyDescent="0.25">
      <c r="A65" s="91"/>
      <c r="B65" s="44"/>
      <c r="C65" s="30"/>
      <c r="D65" s="30"/>
      <c r="E65" s="183"/>
      <c r="F65" s="19" t="str">
        <f>IF(C65="","",VLOOKUP(C65,'Bilan ouverture'!$A$18:$B$49,2,0))</f>
        <v/>
      </c>
      <c r="G65" s="19" t="str">
        <f>IF(D65="","",VLOOKUP(D65,'Bilan ouverture'!$A$18:$B$49,2,0))</f>
        <v/>
      </c>
      <c r="O65" s="93">
        <f t="shared" si="0"/>
        <v>44626</v>
      </c>
    </row>
    <row r="66" spans="1:15" x14ac:dyDescent="0.25">
      <c r="A66" s="91"/>
      <c r="B66" s="44"/>
      <c r="C66" s="30"/>
      <c r="D66" s="30"/>
      <c r="E66" s="183"/>
      <c r="F66" s="19" t="str">
        <f>IF(C66="","",VLOOKUP(C66,'Bilan ouverture'!$A$18:$B$49,2,0))</f>
        <v/>
      </c>
      <c r="G66" s="19" t="str">
        <f>IF(D66="","",VLOOKUP(D66,'Bilan ouverture'!$A$18:$B$49,2,0))</f>
        <v/>
      </c>
      <c r="O66" s="93">
        <f t="shared" si="0"/>
        <v>44627</v>
      </c>
    </row>
    <row r="67" spans="1:15" x14ac:dyDescent="0.25">
      <c r="A67" s="91"/>
      <c r="B67" s="44"/>
      <c r="C67" s="30"/>
      <c r="D67" s="30"/>
      <c r="E67" s="183"/>
      <c r="F67" s="19" t="str">
        <f>IF(C67="","",VLOOKUP(C67,'Bilan ouverture'!$A$18:$B$49,2,0))</f>
        <v/>
      </c>
      <c r="G67" s="19" t="str">
        <f>IF(D67="","",VLOOKUP(D67,'Bilan ouverture'!$A$18:$B$49,2,0))</f>
        <v/>
      </c>
      <c r="O67" s="93">
        <f t="shared" ref="O67:O130" si="1">O66+1</f>
        <v>44628</v>
      </c>
    </row>
    <row r="68" spans="1:15" x14ac:dyDescent="0.25">
      <c r="A68" s="91"/>
      <c r="B68" s="44"/>
      <c r="C68" s="30"/>
      <c r="D68" s="30"/>
      <c r="E68" s="183"/>
      <c r="F68" s="19" t="str">
        <f>IF(C68="","",VLOOKUP(C68,'Bilan ouverture'!$A$18:$B$49,2,0))</f>
        <v/>
      </c>
      <c r="G68" s="19" t="str">
        <f>IF(D68="","",VLOOKUP(D68,'Bilan ouverture'!$A$18:$B$49,2,0))</f>
        <v/>
      </c>
      <c r="O68" s="93">
        <f t="shared" si="1"/>
        <v>44629</v>
      </c>
    </row>
    <row r="69" spans="1:15" x14ac:dyDescent="0.25">
      <c r="A69" s="91"/>
      <c r="B69" s="44"/>
      <c r="C69" s="30"/>
      <c r="D69" s="30"/>
      <c r="E69" s="183"/>
      <c r="F69" s="19" t="str">
        <f>IF(C69="","",VLOOKUP(C69,'Bilan ouverture'!$A$18:$B$49,2,0))</f>
        <v/>
      </c>
      <c r="G69" s="19" t="str">
        <f>IF(D69="","",VLOOKUP(D69,'Bilan ouverture'!$A$18:$B$49,2,0))</f>
        <v/>
      </c>
      <c r="O69" s="93">
        <f t="shared" si="1"/>
        <v>44630</v>
      </c>
    </row>
    <row r="70" spans="1:15" x14ac:dyDescent="0.25">
      <c r="A70" s="91"/>
      <c r="B70" s="44"/>
      <c r="C70" s="30"/>
      <c r="D70" s="30"/>
      <c r="E70" s="183"/>
      <c r="F70" s="19" t="str">
        <f>IF(C70="","",VLOOKUP(C70,'Bilan ouverture'!$A$18:$B$49,2,0))</f>
        <v/>
      </c>
      <c r="G70" s="19" t="str">
        <f>IF(D70="","",VLOOKUP(D70,'Bilan ouverture'!$A$18:$B$49,2,0))</f>
        <v/>
      </c>
      <c r="O70" s="93">
        <f t="shared" si="1"/>
        <v>44631</v>
      </c>
    </row>
    <row r="71" spans="1:15" x14ac:dyDescent="0.25">
      <c r="A71" s="91"/>
      <c r="B71" s="44"/>
      <c r="C71" s="30"/>
      <c r="D71" s="30"/>
      <c r="E71" s="183"/>
      <c r="F71" s="19" t="str">
        <f>IF(C71="","",VLOOKUP(C71,'Bilan ouverture'!$A$18:$B$49,2,0))</f>
        <v/>
      </c>
      <c r="G71" s="19" t="str">
        <f>IF(D71="","",VLOOKUP(D71,'Bilan ouverture'!$A$18:$B$49,2,0))</f>
        <v/>
      </c>
      <c r="O71" s="93">
        <f t="shared" si="1"/>
        <v>44632</v>
      </c>
    </row>
    <row r="72" spans="1:15" x14ac:dyDescent="0.25">
      <c r="A72" s="91"/>
      <c r="B72" s="44"/>
      <c r="C72" s="30"/>
      <c r="D72" s="30"/>
      <c r="E72" s="183"/>
      <c r="F72" s="19" t="str">
        <f>IF(C72="","",VLOOKUP(C72,'Bilan ouverture'!$A$18:$B$49,2,0))</f>
        <v/>
      </c>
      <c r="G72" s="19" t="str">
        <f>IF(D72="","",VLOOKUP(D72,'Bilan ouverture'!$A$18:$B$49,2,0))</f>
        <v/>
      </c>
      <c r="O72" s="93">
        <f t="shared" si="1"/>
        <v>44633</v>
      </c>
    </row>
    <row r="73" spans="1:15" x14ac:dyDescent="0.25">
      <c r="A73" s="91"/>
      <c r="B73" s="44"/>
      <c r="C73" s="30"/>
      <c r="D73" s="30"/>
      <c r="E73" s="183"/>
      <c r="F73" s="19" t="str">
        <f>IF(C73="","",VLOOKUP(C73,'Bilan ouverture'!$A$18:$B$49,2,0))</f>
        <v/>
      </c>
      <c r="G73" s="19" t="str">
        <f>IF(D73="","",VLOOKUP(D73,'Bilan ouverture'!$A$18:$B$49,2,0))</f>
        <v/>
      </c>
      <c r="O73" s="93">
        <f t="shared" si="1"/>
        <v>44634</v>
      </c>
    </row>
    <row r="74" spans="1:15" x14ac:dyDescent="0.25">
      <c r="A74" s="91"/>
      <c r="B74" s="44"/>
      <c r="C74" s="30"/>
      <c r="D74" s="30"/>
      <c r="E74" s="183"/>
      <c r="F74" s="19" t="str">
        <f>IF(C74="","",VLOOKUP(C74,'Bilan ouverture'!$A$18:$B$49,2,0))</f>
        <v/>
      </c>
      <c r="G74" s="19" t="str">
        <f>IF(D74="","",VLOOKUP(D74,'Bilan ouverture'!$A$18:$B$49,2,0))</f>
        <v/>
      </c>
      <c r="O74" s="93">
        <f t="shared" si="1"/>
        <v>44635</v>
      </c>
    </row>
    <row r="75" spans="1:15" x14ac:dyDescent="0.25">
      <c r="A75" s="91"/>
      <c r="B75" s="44"/>
      <c r="C75" s="30"/>
      <c r="D75" s="30"/>
      <c r="E75" s="183"/>
      <c r="F75" s="19" t="str">
        <f>IF(C75="","",VLOOKUP(C75,'Bilan ouverture'!$A$18:$B$49,2,0))</f>
        <v/>
      </c>
      <c r="G75" s="19" t="str">
        <f>IF(D75="","",VLOOKUP(D75,'Bilan ouverture'!$A$18:$B$49,2,0))</f>
        <v/>
      </c>
      <c r="O75" s="93">
        <f t="shared" si="1"/>
        <v>44636</v>
      </c>
    </row>
    <row r="76" spans="1:15" x14ac:dyDescent="0.25">
      <c r="A76" s="91"/>
      <c r="B76" s="44"/>
      <c r="C76" s="30"/>
      <c r="D76" s="30"/>
      <c r="E76" s="183"/>
      <c r="F76" s="19" t="str">
        <f>IF(C76="","",VLOOKUP(C76,'Bilan ouverture'!$A$18:$B$49,2,0))</f>
        <v/>
      </c>
      <c r="G76" s="19" t="str">
        <f>IF(D76="","",VLOOKUP(D76,'Bilan ouverture'!$A$18:$B$49,2,0))</f>
        <v/>
      </c>
      <c r="O76" s="93">
        <f t="shared" si="1"/>
        <v>44637</v>
      </c>
    </row>
    <row r="77" spans="1:15" x14ac:dyDescent="0.25">
      <c r="A77" s="91"/>
      <c r="B77" s="44"/>
      <c r="C77" s="30"/>
      <c r="D77" s="30"/>
      <c r="E77" s="183"/>
      <c r="F77" s="19" t="str">
        <f>IF(C77="","",VLOOKUP(C77,'Bilan ouverture'!$A$18:$B$49,2,0))</f>
        <v/>
      </c>
      <c r="G77" s="19" t="str">
        <f>IF(D77="","",VLOOKUP(D77,'Bilan ouverture'!$A$18:$B$49,2,0))</f>
        <v/>
      </c>
      <c r="O77" s="93">
        <f t="shared" si="1"/>
        <v>44638</v>
      </c>
    </row>
    <row r="78" spans="1:15" x14ac:dyDescent="0.25">
      <c r="A78" s="91"/>
      <c r="B78" s="44"/>
      <c r="C78" s="30"/>
      <c r="D78" s="30"/>
      <c r="E78" s="183"/>
      <c r="F78" s="19" t="str">
        <f>IF(C78="","",VLOOKUP(C78,'Bilan ouverture'!$A$18:$B$49,2,0))</f>
        <v/>
      </c>
      <c r="G78" s="19" t="str">
        <f>IF(D78="","",VLOOKUP(D78,'Bilan ouverture'!$A$18:$B$49,2,0))</f>
        <v/>
      </c>
      <c r="O78" s="93">
        <f t="shared" si="1"/>
        <v>44639</v>
      </c>
    </row>
    <row r="79" spans="1:15" x14ac:dyDescent="0.25">
      <c r="A79" s="91"/>
      <c r="B79" s="44"/>
      <c r="C79" s="30"/>
      <c r="D79" s="30"/>
      <c r="E79" s="183"/>
      <c r="F79" s="19" t="str">
        <f>IF(C79="","",VLOOKUP(C79,'Bilan ouverture'!$A$18:$B$49,2,0))</f>
        <v/>
      </c>
      <c r="G79" s="19" t="str">
        <f>IF(D79="","",VLOOKUP(D79,'Bilan ouverture'!$A$18:$B$49,2,0))</f>
        <v/>
      </c>
      <c r="O79" s="93">
        <f t="shared" si="1"/>
        <v>44640</v>
      </c>
    </row>
    <row r="80" spans="1:15" x14ac:dyDescent="0.25">
      <c r="A80" s="91"/>
      <c r="B80" s="44"/>
      <c r="C80" s="30"/>
      <c r="D80" s="30"/>
      <c r="E80" s="183"/>
      <c r="F80" s="19" t="str">
        <f>IF(C80="","",VLOOKUP(C80,'Bilan ouverture'!$A$18:$B$49,2,0))</f>
        <v/>
      </c>
      <c r="G80" s="19" t="str">
        <f>IF(D80="","",VLOOKUP(D80,'Bilan ouverture'!$A$18:$B$49,2,0))</f>
        <v/>
      </c>
      <c r="O80" s="93">
        <f t="shared" si="1"/>
        <v>44641</v>
      </c>
    </row>
    <row r="81" spans="1:15" x14ac:dyDescent="0.25">
      <c r="A81" s="91"/>
      <c r="B81" s="44"/>
      <c r="C81" s="30"/>
      <c r="D81" s="30"/>
      <c r="E81" s="183"/>
      <c r="F81" s="19" t="str">
        <f>IF(C81="","",VLOOKUP(C81,'Bilan ouverture'!$A$18:$B$49,2,0))</f>
        <v/>
      </c>
      <c r="G81" s="19" t="str">
        <f>IF(D81="","",VLOOKUP(D81,'Bilan ouverture'!$A$18:$B$49,2,0))</f>
        <v/>
      </c>
      <c r="O81" s="93">
        <f t="shared" si="1"/>
        <v>44642</v>
      </c>
    </row>
    <row r="82" spans="1:15" x14ac:dyDescent="0.25">
      <c r="A82" s="91"/>
      <c r="B82" s="44"/>
      <c r="C82" s="30"/>
      <c r="D82" s="30"/>
      <c r="E82" s="183"/>
      <c r="F82" s="19" t="str">
        <f>IF(C82="","",VLOOKUP(C82,'Bilan ouverture'!$A$18:$B$49,2,0))</f>
        <v/>
      </c>
      <c r="G82" s="19" t="str">
        <f>IF(D82="","",VLOOKUP(D82,'Bilan ouverture'!$A$18:$B$49,2,0))</f>
        <v/>
      </c>
      <c r="O82" s="93">
        <f t="shared" si="1"/>
        <v>44643</v>
      </c>
    </row>
    <row r="83" spans="1:15" x14ac:dyDescent="0.25">
      <c r="A83" s="91"/>
      <c r="B83" s="44"/>
      <c r="C83" s="30"/>
      <c r="D83" s="30"/>
      <c r="E83" s="183"/>
      <c r="F83" s="19" t="str">
        <f>IF(C83="","",VLOOKUP(C83,'Bilan ouverture'!$A$18:$B$49,2,0))</f>
        <v/>
      </c>
      <c r="G83" s="19" t="str">
        <f>IF(D83="","",VLOOKUP(D83,'Bilan ouverture'!$A$18:$B$49,2,0))</f>
        <v/>
      </c>
      <c r="O83" s="93">
        <f t="shared" si="1"/>
        <v>44644</v>
      </c>
    </row>
    <row r="84" spans="1:15" x14ac:dyDescent="0.25">
      <c r="A84" s="91"/>
      <c r="B84" s="44"/>
      <c r="C84" s="30"/>
      <c r="D84" s="30"/>
      <c r="E84" s="183"/>
      <c r="F84" s="19" t="str">
        <f>IF(C84="","",VLOOKUP(C84,'Bilan ouverture'!$A$18:$B$49,2,0))</f>
        <v/>
      </c>
      <c r="G84" s="19" t="str">
        <f>IF(D84="","",VLOOKUP(D84,'Bilan ouverture'!$A$18:$B$49,2,0))</f>
        <v/>
      </c>
      <c r="O84" s="93">
        <f t="shared" si="1"/>
        <v>44645</v>
      </c>
    </row>
    <row r="85" spans="1:15" x14ac:dyDescent="0.25">
      <c r="A85" s="91"/>
      <c r="B85" s="44"/>
      <c r="C85" s="30"/>
      <c r="D85" s="30"/>
      <c r="E85" s="183"/>
      <c r="F85" s="19" t="str">
        <f>IF(C85="","",VLOOKUP(C85,'Bilan ouverture'!$A$18:$B$49,2,0))</f>
        <v/>
      </c>
      <c r="G85" s="19" t="str">
        <f>IF(D85="","",VLOOKUP(D85,'Bilan ouverture'!$A$18:$B$49,2,0))</f>
        <v/>
      </c>
      <c r="O85" s="93">
        <f t="shared" si="1"/>
        <v>44646</v>
      </c>
    </row>
    <row r="86" spans="1:15" x14ac:dyDescent="0.25">
      <c r="A86" s="91"/>
      <c r="B86" s="44"/>
      <c r="C86" s="30"/>
      <c r="D86" s="30"/>
      <c r="E86" s="183"/>
      <c r="F86" s="19" t="str">
        <f>IF(C86="","",VLOOKUP(C86,'Bilan ouverture'!$A$18:$B$49,2,0))</f>
        <v/>
      </c>
      <c r="G86" s="19" t="str">
        <f>IF(D86="","",VLOOKUP(D86,'Bilan ouverture'!$A$18:$B$49,2,0))</f>
        <v/>
      </c>
      <c r="O86" s="93">
        <f t="shared" si="1"/>
        <v>44647</v>
      </c>
    </row>
    <row r="87" spans="1:15" x14ac:dyDescent="0.25">
      <c r="A87" s="91"/>
      <c r="B87" s="44"/>
      <c r="C87" s="30"/>
      <c r="D87" s="30"/>
      <c r="E87" s="183"/>
      <c r="F87" s="19" t="str">
        <f>IF(C87="","",VLOOKUP(C87,'Bilan ouverture'!$A$18:$B$49,2,0))</f>
        <v/>
      </c>
      <c r="G87" s="19" t="str">
        <f>IF(D87="","",VLOOKUP(D87,'Bilan ouverture'!$A$18:$B$49,2,0))</f>
        <v/>
      </c>
      <c r="O87" s="93">
        <f t="shared" si="1"/>
        <v>44648</v>
      </c>
    </row>
    <row r="88" spans="1:15" x14ac:dyDescent="0.25">
      <c r="A88" s="91"/>
      <c r="B88" s="44"/>
      <c r="C88" s="30"/>
      <c r="D88" s="30"/>
      <c r="E88" s="183"/>
      <c r="F88" s="19" t="str">
        <f>IF(C88="","",VLOOKUP(C88,'Bilan ouverture'!$A$18:$B$49,2,0))</f>
        <v/>
      </c>
      <c r="G88" s="19" t="str">
        <f>IF(D88="","",VLOOKUP(D88,'Bilan ouverture'!$A$18:$B$49,2,0))</f>
        <v/>
      </c>
      <c r="O88" s="93">
        <f t="shared" si="1"/>
        <v>44649</v>
      </c>
    </row>
    <row r="89" spans="1:15" x14ac:dyDescent="0.25">
      <c r="A89" s="91"/>
      <c r="B89" s="44"/>
      <c r="C89" s="30"/>
      <c r="D89" s="30"/>
      <c r="E89" s="183"/>
      <c r="F89" s="19" t="str">
        <f>IF(C89="","",VLOOKUP(C89,'Bilan ouverture'!$A$18:$B$49,2,0))</f>
        <v/>
      </c>
      <c r="G89" s="19" t="str">
        <f>IF(D89="","",VLOOKUP(D89,'Bilan ouverture'!$A$18:$B$49,2,0))</f>
        <v/>
      </c>
      <c r="O89" s="93">
        <f t="shared" si="1"/>
        <v>44650</v>
      </c>
    </row>
    <row r="90" spans="1:15" x14ac:dyDescent="0.25">
      <c r="A90" s="91"/>
      <c r="B90" s="44"/>
      <c r="C90" s="30"/>
      <c r="D90" s="30"/>
      <c r="E90" s="183"/>
      <c r="F90" s="19" t="str">
        <f>IF(C90="","",VLOOKUP(C90,'Bilan ouverture'!$A$18:$B$49,2,0))</f>
        <v/>
      </c>
      <c r="G90" s="19" t="str">
        <f>IF(D90="","",VLOOKUP(D90,'Bilan ouverture'!$A$18:$B$49,2,0))</f>
        <v/>
      </c>
      <c r="O90" s="93">
        <f t="shared" si="1"/>
        <v>44651</v>
      </c>
    </row>
    <row r="91" spans="1:15" x14ac:dyDescent="0.25">
      <c r="A91" s="91"/>
      <c r="B91" s="44"/>
      <c r="C91" s="30"/>
      <c r="D91" s="30"/>
      <c r="E91" s="183"/>
      <c r="F91" s="19" t="str">
        <f>IF(C91="","",VLOOKUP(C91,'Bilan ouverture'!$A$18:$B$49,2,0))</f>
        <v/>
      </c>
      <c r="G91" s="19" t="str">
        <f>IF(D91="","",VLOOKUP(D91,'Bilan ouverture'!$A$18:$B$49,2,0))</f>
        <v/>
      </c>
      <c r="O91" s="93">
        <f t="shared" si="1"/>
        <v>44652</v>
      </c>
    </row>
    <row r="92" spans="1:15" x14ac:dyDescent="0.25">
      <c r="A92" s="91"/>
      <c r="B92" s="44"/>
      <c r="C92" s="30"/>
      <c r="D92" s="30"/>
      <c r="E92" s="183"/>
      <c r="F92" s="19" t="str">
        <f>IF(C92="","",VLOOKUP(C92,'Bilan ouverture'!$A$18:$B$49,2,0))</f>
        <v/>
      </c>
      <c r="G92" s="19" t="str">
        <f>IF(D92="","",VLOOKUP(D92,'Bilan ouverture'!$A$18:$B$49,2,0))</f>
        <v/>
      </c>
      <c r="O92" s="93">
        <f t="shared" si="1"/>
        <v>44653</v>
      </c>
    </row>
    <row r="93" spans="1:15" x14ac:dyDescent="0.25">
      <c r="A93" s="91"/>
      <c r="B93" s="44"/>
      <c r="C93" s="30"/>
      <c r="D93" s="30"/>
      <c r="E93" s="183"/>
      <c r="F93" s="19" t="str">
        <f>IF(C93="","",VLOOKUP(C93,'Bilan ouverture'!$A$18:$B$49,2,0))</f>
        <v/>
      </c>
      <c r="G93" s="19" t="str">
        <f>IF(D93="","",VLOOKUP(D93,'Bilan ouverture'!$A$18:$B$49,2,0))</f>
        <v/>
      </c>
      <c r="O93" s="93">
        <f t="shared" si="1"/>
        <v>44654</v>
      </c>
    </row>
    <row r="94" spans="1:15" x14ac:dyDescent="0.25">
      <c r="A94" s="91"/>
      <c r="B94" s="44"/>
      <c r="C94" s="30"/>
      <c r="D94" s="30"/>
      <c r="E94" s="183"/>
      <c r="F94" s="19" t="str">
        <f>IF(C94="","",VLOOKUP(C94,'Bilan ouverture'!$A$18:$B$49,2,0))</f>
        <v/>
      </c>
      <c r="G94" s="19" t="str">
        <f>IF(D94="","",VLOOKUP(D94,'Bilan ouverture'!$A$18:$B$49,2,0))</f>
        <v/>
      </c>
      <c r="O94" s="93">
        <f t="shared" si="1"/>
        <v>44655</v>
      </c>
    </row>
    <row r="95" spans="1:15" x14ac:dyDescent="0.25">
      <c r="A95" s="91"/>
      <c r="B95" s="44"/>
      <c r="C95" s="30"/>
      <c r="D95" s="30"/>
      <c r="E95" s="183"/>
      <c r="F95" s="19" t="str">
        <f>IF(C95="","",VLOOKUP(C95,'Bilan ouverture'!$A$18:$B$49,2,0))</f>
        <v/>
      </c>
      <c r="G95" s="19" t="str">
        <f>IF(D95="","",VLOOKUP(D95,'Bilan ouverture'!$A$18:$B$49,2,0))</f>
        <v/>
      </c>
      <c r="O95" s="93">
        <f t="shared" si="1"/>
        <v>44656</v>
      </c>
    </row>
    <row r="96" spans="1:15" x14ac:dyDescent="0.25">
      <c r="A96" s="91"/>
      <c r="B96" s="44"/>
      <c r="C96" s="30"/>
      <c r="D96" s="30"/>
      <c r="E96" s="183"/>
      <c r="F96" s="19" t="str">
        <f>IF(C96="","",VLOOKUP(C96,'Bilan ouverture'!$A$18:$B$49,2,0))</f>
        <v/>
      </c>
      <c r="G96" s="19" t="str">
        <f>IF(D96="","",VLOOKUP(D96,'Bilan ouverture'!$A$18:$B$49,2,0))</f>
        <v/>
      </c>
      <c r="O96" s="93">
        <f t="shared" si="1"/>
        <v>44657</v>
      </c>
    </row>
    <row r="97" spans="1:15" x14ac:dyDescent="0.25">
      <c r="A97" s="91"/>
      <c r="B97" s="44"/>
      <c r="C97" s="30"/>
      <c r="D97" s="30"/>
      <c r="E97" s="183"/>
      <c r="F97" s="19" t="str">
        <f>IF(C97="","",VLOOKUP(C97,'Bilan ouverture'!$A$18:$B$49,2,0))</f>
        <v/>
      </c>
      <c r="G97" s="19" t="str">
        <f>IF(D97="","",VLOOKUP(D97,'Bilan ouverture'!$A$18:$B$49,2,0))</f>
        <v/>
      </c>
      <c r="O97" s="93">
        <f t="shared" si="1"/>
        <v>44658</v>
      </c>
    </row>
    <row r="98" spans="1:15" x14ac:dyDescent="0.25">
      <c r="A98" s="91"/>
      <c r="B98" s="44"/>
      <c r="C98" s="30"/>
      <c r="D98" s="30"/>
      <c r="E98" s="183"/>
      <c r="F98" s="19" t="str">
        <f>IF(C98="","",VLOOKUP(C98,'Bilan ouverture'!$A$18:$B$49,2,0))</f>
        <v/>
      </c>
      <c r="G98" s="19" t="str">
        <f>IF(D98="","",VLOOKUP(D98,'Bilan ouverture'!$A$18:$B$49,2,0))</f>
        <v/>
      </c>
      <c r="O98" s="93">
        <f t="shared" si="1"/>
        <v>44659</v>
      </c>
    </row>
    <row r="99" spans="1:15" x14ac:dyDescent="0.25">
      <c r="A99" s="91"/>
      <c r="B99" s="44"/>
      <c r="C99" s="30"/>
      <c r="D99" s="30"/>
      <c r="E99" s="183"/>
      <c r="F99" s="19" t="str">
        <f>IF(C99="","",VLOOKUP(C99,'Bilan ouverture'!$A$18:$B$49,2,0))</f>
        <v/>
      </c>
      <c r="G99" s="19" t="str">
        <f>IF(D99="","",VLOOKUP(D99,'Bilan ouverture'!$A$18:$B$49,2,0))</f>
        <v/>
      </c>
      <c r="O99" s="93">
        <f t="shared" si="1"/>
        <v>44660</v>
      </c>
    </row>
    <row r="100" spans="1:15" x14ac:dyDescent="0.25">
      <c r="A100" s="91"/>
      <c r="B100" s="44"/>
      <c r="C100" s="30"/>
      <c r="D100" s="30"/>
      <c r="E100" s="183"/>
      <c r="F100" s="19" t="str">
        <f>IF(C100="","",VLOOKUP(C100,'Bilan ouverture'!$A$18:$B$49,2,0))</f>
        <v/>
      </c>
      <c r="G100" s="19" t="str">
        <f>IF(D100="","",VLOOKUP(D100,'Bilan ouverture'!$A$18:$B$49,2,0))</f>
        <v/>
      </c>
      <c r="O100" s="93">
        <f t="shared" si="1"/>
        <v>44661</v>
      </c>
    </row>
    <row r="101" spans="1:15" x14ac:dyDescent="0.25">
      <c r="A101" s="91"/>
      <c r="B101" s="44"/>
      <c r="C101" s="30"/>
      <c r="D101" s="30"/>
      <c r="E101" s="183"/>
      <c r="F101" s="19" t="str">
        <f>IF(C101="","",VLOOKUP(C101,'Bilan ouverture'!$A$18:$B$49,2,0))</f>
        <v/>
      </c>
      <c r="G101" s="19" t="str">
        <f>IF(D101="","",VLOOKUP(D101,'Bilan ouverture'!$A$18:$B$49,2,0))</f>
        <v/>
      </c>
      <c r="O101" s="93">
        <f t="shared" si="1"/>
        <v>44662</v>
      </c>
    </row>
    <row r="102" spans="1:15" x14ac:dyDescent="0.25">
      <c r="A102" s="91"/>
      <c r="B102" s="44"/>
      <c r="C102" s="30"/>
      <c r="D102" s="30"/>
      <c r="E102" s="183"/>
      <c r="F102" s="19" t="str">
        <f>IF(C102="","",VLOOKUP(C102,'Bilan ouverture'!$A$18:$B$49,2,0))</f>
        <v/>
      </c>
      <c r="G102" s="19" t="str">
        <f>IF(D102="","",VLOOKUP(D102,'Bilan ouverture'!$A$18:$B$49,2,0))</f>
        <v/>
      </c>
      <c r="O102" s="93">
        <f t="shared" si="1"/>
        <v>44663</v>
      </c>
    </row>
    <row r="103" spans="1:15" x14ac:dyDescent="0.25">
      <c r="O103" s="93">
        <f t="shared" si="1"/>
        <v>44664</v>
      </c>
    </row>
    <row r="104" spans="1:15" x14ac:dyDescent="0.25">
      <c r="O104" s="93">
        <f t="shared" si="1"/>
        <v>44665</v>
      </c>
    </row>
    <row r="105" spans="1:15" x14ac:dyDescent="0.25">
      <c r="O105" s="93">
        <f t="shared" si="1"/>
        <v>44666</v>
      </c>
    </row>
    <row r="106" spans="1:15" x14ac:dyDescent="0.25">
      <c r="O106" s="93">
        <f t="shared" si="1"/>
        <v>44667</v>
      </c>
    </row>
    <row r="107" spans="1:15" x14ac:dyDescent="0.25">
      <c r="O107" s="93">
        <f t="shared" si="1"/>
        <v>44668</v>
      </c>
    </row>
    <row r="108" spans="1:15" x14ac:dyDescent="0.25">
      <c r="O108" s="93">
        <f t="shared" si="1"/>
        <v>44669</v>
      </c>
    </row>
    <row r="109" spans="1:15" x14ac:dyDescent="0.25">
      <c r="O109" s="93">
        <f t="shared" si="1"/>
        <v>44670</v>
      </c>
    </row>
    <row r="110" spans="1:15" x14ac:dyDescent="0.25">
      <c r="O110" s="93">
        <f t="shared" si="1"/>
        <v>44671</v>
      </c>
    </row>
    <row r="111" spans="1:15" x14ac:dyDescent="0.25">
      <c r="O111" s="93">
        <f t="shared" si="1"/>
        <v>44672</v>
      </c>
    </row>
    <row r="112" spans="1:15" x14ac:dyDescent="0.25">
      <c r="O112" s="93">
        <f t="shared" si="1"/>
        <v>44673</v>
      </c>
    </row>
    <row r="113" spans="15:15" x14ac:dyDescent="0.25">
      <c r="O113" s="93">
        <f t="shared" si="1"/>
        <v>44674</v>
      </c>
    </row>
    <row r="114" spans="15:15" x14ac:dyDescent="0.25">
      <c r="O114" s="93">
        <f t="shared" si="1"/>
        <v>44675</v>
      </c>
    </row>
    <row r="115" spans="15:15" x14ac:dyDescent="0.25">
      <c r="O115" s="93">
        <f t="shared" si="1"/>
        <v>44676</v>
      </c>
    </row>
    <row r="116" spans="15:15" x14ac:dyDescent="0.25">
      <c r="O116" s="93">
        <f t="shared" si="1"/>
        <v>44677</v>
      </c>
    </row>
    <row r="117" spans="15:15" x14ac:dyDescent="0.25">
      <c r="O117" s="93">
        <f t="shared" si="1"/>
        <v>44678</v>
      </c>
    </row>
    <row r="118" spans="15:15" x14ac:dyDescent="0.25">
      <c r="O118" s="93">
        <f t="shared" si="1"/>
        <v>44679</v>
      </c>
    </row>
    <row r="119" spans="15:15" x14ac:dyDescent="0.25">
      <c r="O119" s="93">
        <f t="shared" si="1"/>
        <v>44680</v>
      </c>
    </row>
    <row r="120" spans="15:15" x14ac:dyDescent="0.25">
      <c r="O120" s="93">
        <f t="shared" si="1"/>
        <v>44681</v>
      </c>
    </row>
    <row r="121" spans="15:15" x14ac:dyDescent="0.25">
      <c r="O121" s="93">
        <f t="shared" si="1"/>
        <v>44682</v>
      </c>
    </row>
    <row r="122" spans="15:15" x14ac:dyDescent="0.25">
      <c r="O122" s="93">
        <f t="shared" si="1"/>
        <v>44683</v>
      </c>
    </row>
    <row r="123" spans="15:15" x14ac:dyDescent="0.25">
      <c r="O123" s="93">
        <f t="shared" si="1"/>
        <v>44684</v>
      </c>
    </row>
    <row r="124" spans="15:15" x14ac:dyDescent="0.25">
      <c r="O124" s="93">
        <f t="shared" si="1"/>
        <v>44685</v>
      </c>
    </row>
    <row r="125" spans="15:15" x14ac:dyDescent="0.25">
      <c r="O125" s="93">
        <f t="shared" si="1"/>
        <v>44686</v>
      </c>
    </row>
    <row r="126" spans="15:15" x14ac:dyDescent="0.25">
      <c r="O126" s="93">
        <f t="shared" si="1"/>
        <v>44687</v>
      </c>
    </row>
    <row r="127" spans="15:15" x14ac:dyDescent="0.25">
      <c r="O127" s="93">
        <f t="shared" si="1"/>
        <v>44688</v>
      </c>
    </row>
    <row r="128" spans="15:15" x14ac:dyDescent="0.25">
      <c r="O128" s="93">
        <f t="shared" si="1"/>
        <v>44689</v>
      </c>
    </row>
    <row r="129" spans="15:15" x14ac:dyDescent="0.25">
      <c r="O129" s="93">
        <f t="shared" si="1"/>
        <v>44690</v>
      </c>
    </row>
    <row r="130" spans="15:15" x14ac:dyDescent="0.25">
      <c r="O130" s="93">
        <f t="shared" si="1"/>
        <v>44691</v>
      </c>
    </row>
    <row r="131" spans="15:15" x14ac:dyDescent="0.25">
      <c r="O131" s="93">
        <f t="shared" ref="O131:O194" si="2">O130+1</f>
        <v>44692</v>
      </c>
    </row>
    <row r="132" spans="15:15" x14ac:dyDescent="0.25">
      <c r="O132" s="93">
        <f t="shared" si="2"/>
        <v>44693</v>
      </c>
    </row>
    <row r="133" spans="15:15" x14ac:dyDescent="0.25">
      <c r="O133" s="93">
        <f t="shared" si="2"/>
        <v>44694</v>
      </c>
    </row>
    <row r="134" spans="15:15" x14ac:dyDescent="0.25">
      <c r="O134" s="93">
        <f t="shared" si="2"/>
        <v>44695</v>
      </c>
    </row>
    <row r="135" spans="15:15" x14ac:dyDescent="0.25">
      <c r="O135" s="93">
        <f t="shared" si="2"/>
        <v>44696</v>
      </c>
    </row>
    <row r="136" spans="15:15" x14ac:dyDescent="0.25">
      <c r="O136" s="93">
        <f t="shared" si="2"/>
        <v>44697</v>
      </c>
    </row>
    <row r="137" spans="15:15" x14ac:dyDescent="0.25">
      <c r="O137" s="93">
        <f t="shared" si="2"/>
        <v>44698</v>
      </c>
    </row>
    <row r="138" spans="15:15" x14ac:dyDescent="0.25">
      <c r="O138" s="93">
        <f t="shared" si="2"/>
        <v>44699</v>
      </c>
    </row>
    <row r="139" spans="15:15" x14ac:dyDescent="0.25">
      <c r="O139" s="93">
        <f t="shared" si="2"/>
        <v>44700</v>
      </c>
    </row>
    <row r="140" spans="15:15" x14ac:dyDescent="0.25">
      <c r="O140" s="93">
        <f t="shared" si="2"/>
        <v>44701</v>
      </c>
    </row>
    <row r="141" spans="15:15" x14ac:dyDescent="0.25">
      <c r="O141" s="93">
        <f t="shared" si="2"/>
        <v>44702</v>
      </c>
    </row>
    <row r="142" spans="15:15" x14ac:dyDescent="0.25">
      <c r="O142" s="93">
        <f t="shared" si="2"/>
        <v>44703</v>
      </c>
    </row>
    <row r="143" spans="15:15" x14ac:dyDescent="0.25">
      <c r="O143" s="93">
        <f t="shared" si="2"/>
        <v>44704</v>
      </c>
    </row>
    <row r="144" spans="15:15" x14ac:dyDescent="0.25">
      <c r="O144" s="93">
        <f t="shared" si="2"/>
        <v>44705</v>
      </c>
    </row>
    <row r="145" spans="15:15" x14ac:dyDescent="0.25">
      <c r="O145" s="93">
        <f t="shared" si="2"/>
        <v>44706</v>
      </c>
    </row>
    <row r="146" spans="15:15" x14ac:dyDescent="0.25">
      <c r="O146" s="93">
        <f t="shared" si="2"/>
        <v>44707</v>
      </c>
    </row>
    <row r="147" spans="15:15" x14ac:dyDescent="0.25">
      <c r="O147" s="93">
        <f t="shared" si="2"/>
        <v>44708</v>
      </c>
    </row>
    <row r="148" spans="15:15" x14ac:dyDescent="0.25">
      <c r="O148" s="93">
        <f t="shared" si="2"/>
        <v>44709</v>
      </c>
    </row>
    <row r="149" spans="15:15" x14ac:dyDescent="0.25">
      <c r="O149" s="93">
        <f t="shared" si="2"/>
        <v>44710</v>
      </c>
    </row>
    <row r="150" spans="15:15" x14ac:dyDescent="0.25">
      <c r="O150" s="93">
        <f t="shared" si="2"/>
        <v>44711</v>
      </c>
    </row>
    <row r="151" spans="15:15" x14ac:dyDescent="0.25">
      <c r="O151" s="93">
        <f t="shared" si="2"/>
        <v>44712</v>
      </c>
    </row>
    <row r="152" spans="15:15" x14ac:dyDescent="0.25">
      <c r="O152" s="93">
        <f t="shared" si="2"/>
        <v>44713</v>
      </c>
    </row>
    <row r="153" spans="15:15" x14ac:dyDescent="0.25">
      <c r="O153" s="93">
        <f t="shared" si="2"/>
        <v>44714</v>
      </c>
    </row>
    <row r="154" spans="15:15" x14ac:dyDescent="0.25">
      <c r="O154" s="93">
        <f t="shared" si="2"/>
        <v>44715</v>
      </c>
    </row>
    <row r="155" spans="15:15" x14ac:dyDescent="0.25">
      <c r="O155" s="93">
        <f t="shared" si="2"/>
        <v>44716</v>
      </c>
    </row>
    <row r="156" spans="15:15" x14ac:dyDescent="0.25">
      <c r="O156" s="93">
        <f t="shared" si="2"/>
        <v>44717</v>
      </c>
    </row>
    <row r="157" spans="15:15" x14ac:dyDescent="0.25">
      <c r="O157" s="93">
        <f t="shared" si="2"/>
        <v>44718</v>
      </c>
    </row>
    <row r="158" spans="15:15" x14ac:dyDescent="0.25">
      <c r="O158" s="93">
        <f t="shared" si="2"/>
        <v>44719</v>
      </c>
    </row>
    <row r="159" spans="15:15" x14ac:dyDescent="0.25">
      <c r="O159" s="93">
        <f t="shared" si="2"/>
        <v>44720</v>
      </c>
    </row>
    <row r="160" spans="15:15" x14ac:dyDescent="0.25">
      <c r="O160" s="93">
        <f t="shared" si="2"/>
        <v>44721</v>
      </c>
    </row>
    <row r="161" spans="15:15" x14ac:dyDescent="0.25">
      <c r="O161" s="93">
        <f t="shared" si="2"/>
        <v>44722</v>
      </c>
    </row>
    <row r="162" spans="15:15" x14ac:dyDescent="0.25">
      <c r="O162" s="93">
        <f t="shared" si="2"/>
        <v>44723</v>
      </c>
    </row>
    <row r="163" spans="15:15" x14ac:dyDescent="0.25">
      <c r="O163" s="93">
        <f t="shared" si="2"/>
        <v>44724</v>
      </c>
    </row>
    <row r="164" spans="15:15" x14ac:dyDescent="0.25">
      <c r="O164" s="93">
        <f t="shared" si="2"/>
        <v>44725</v>
      </c>
    </row>
    <row r="165" spans="15:15" x14ac:dyDescent="0.25">
      <c r="O165" s="93">
        <f t="shared" si="2"/>
        <v>44726</v>
      </c>
    </row>
    <row r="166" spans="15:15" x14ac:dyDescent="0.25">
      <c r="O166" s="93">
        <f t="shared" si="2"/>
        <v>44727</v>
      </c>
    </row>
    <row r="167" spans="15:15" x14ac:dyDescent="0.25">
      <c r="O167" s="93">
        <f t="shared" si="2"/>
        <v>44728</v>
      </c>
    </row>
    <row r="168" spans="15:15" x14ac:dyDescent="0.25">
      <c r="O168" s="93">
        <f t="shared" si="2"/>
        <v>44729</v>
      </c>
    </row>
    <row r="169" spans="15:15" x14ac:dyDescent="0.25">
      <c r="O169" s="93">
        <f t="shared" si="2"/>
        <v>44730</v>
      </c>
    </row>
    <row r="170" spans="15:15" x14ac:dyDescent="0.25">
      <c r="O170" s="93">
        <f t="shared" si="2"/>
        <v>44731</v>
      </c>
    </row>
    <row r="171" spans="15:15" x14ac:dyDescent="0.25">
      <c r="O171" s="93">
        <f t="shared" si="2"/>
        <v>44732</v>
      </c>
    </row>
    <row r="172" spans="15:15" x14ac:dyDescent="0.25">
      <c r="O172" s="93">
        <f t="shared" si="2"/>
        <v>44733</v>
      </c>
    </row>
    <row r="173" spans="15:15" x14ac:dyDescent="0.25">
      <c r="O173" s="93">
        <f t="shared" si="2"/>
        <v>44734</v>
      </c>
    </row>
    <row r="174" spans="15:15" x14ac:dyDescent="0.25">
      <c r="O174" s="93">
        <f t="shared" si="2"/>
        <v>44735</v>
      </c>
    </row>
    <row r="175" spans="15:15" x14ac:dyDescent="0.25">
      <c r="O175" s="93">
        <f t="shared" si="2"/>
        <v>44736</v>
      </c>
    </row>
    <row r="176" spans="15:15" x14ac:dyDescent="0.25">
      <c r="O176" s="93">
        <f t="shared" si="2"/>
        <v>44737</v>
      </c>
    </row>
    <row r="177" spans="15:15" x14ac:dyDescent="0.25">
      <c r="O177" s="93">
        <f t="shared" si="2"/>
        <v>44738</v>
      </c>
    </row>
    <row r="178" spans="15:15" x14ac:dyDescent="0.25">
      <c r="O178" s="93">
        <f t="shared" si="2"/>
        <v>44739</v>
      </c>
    </row>
    <row r="179" spans="15:15" x14ac:dyDescent="0.25">
      <c r="O179" s="93">
        <f t="shared" si="2"/>
        <v>44740</v>
      </c>
    </row>
    <row r="180" spans="15:15" x14ac:dyDescent="0.25">
      <c r="O180" s="93">
        <f t="shared" si="2"/>
        <v>44741</v>
      </c>
    </row>
    <row r="181" spans="15:15" x14ac:dyDescent="0.25">
      <c r="O181" s="93">
        <f t="shared" si="2"/>
        <v>44742</v>
      </c>
    </row>
    <row r="182" spans="15:15" x14ac:dyDescent="0.25">
      <c r="O182" s="93">
        <f t="shared" si="2"/>
        <v>44743</v>
      </c>
    </row>
    <row r="183" spans="15:15" x14ac:dyDescent="0.25">
      <c r="O183" s="93">
        <f t="shared" si="2"/>
        <v>44744</v>
      </c>
    </row>
    <row r="184" spans="15:15" x14ac:dyDescent="0.25">
      <c r="O184" s="93">
        <f t="shared" si="2"/>
        <v>44745</v>
      </c>
    </row>
    <row r="185" spans="15:15" x14ac:dyDescent="0.25">
      <c r="O185" s="93">
        <f t="shared" si="2"/>
        <v>44746</v>
      </c>
    </row>
    <row r="186" spans="15:15" x14ac:dyDescent="0.25">
      <c r="O186" s="93">
        <f t="shared" si="2"/>
        <v>44747</v>
      </c>
    </row>
    <row r="187" spans="15:15" x14ac:dyDescent="0.25">
      <c r="O187" s="93">
        <f t="shared" si="2"/>
        <v>44748</v>
      </c>
    </row>
    <row r="188" spans="15:15" x14ac:dyDescent="0.25">
      <c r="O188" s="93">
        <f t="shared" si="2"/>
        <v>44749</v>
      </c>
    </row>
    <row r="189" spans="15:15" x14ac:dyDescent="0.25">
      <c r="O189" s="93">
        <f t="shared" si="2"/>
        <v>44750</v>
      </c>
    </row>
    <row r="190" spans="15:15" x14ac:dyDescent="0.25">
      <c r="O190" s="93">
        <f t="shared" si="2"/>
        <v>44751</v>
      </c>
    </row>
    <row r="191" spans="15:15" x14ac:dyDescent="0.25">
      <c r="O191" s="93">
        <f t="shared" si="2"/>
        <v>44752</v>
      </c>
    </row>
    <row r="192" spans="15:15" x14ac:dyDescent="0.25">
      <c r="O192" s="93">
        <f t="shared" si="2"/>
        <v>44753</v>
      </c>
    </row>
    <row r="193" spans="15:15" x14ac:dyDescent="0.25">
      <c r="O193" s="93">
        <f t="shared" si="2"/>
        <v>44754</v>
      </c>
    </row>
    <row r="194" spans="15:15" x14ac:dyDescent="0.25">
      <c r="O194" s="93">
        <f t="shared" si="2"/>
        <v>44755</v>
      </c>
    </row>
    <row r="195" spans="15:15" x14ac:dyDescent="0.25">
      <c r="O195" s="93">
        <f t="shared" ref="O195:O258" si="3">O194+1</f>
        <v>44756</v>
      </c>
    </row>
    <row r="196" spans="15:15" x14ac:dyDescent="0.25">
      <c r="O196" s="93">
        <f t="shared" si="3"/>
        <v>44757</v>
      </c>
    </row>
    <row r="197" spans="15:15" x14ac:dyDescent="0.25">
      <c r="O197" s="93">
        <f t="shared" si="3"/>
        <v>44758</v>
      </c>
    </row>
    <row r="198" spans="15:15" x14ac:dyDescent="0.25">
      <c r="O198" s="93">
        <f t="shared" si="3"/>
        <v>44759</v>
      </c>
    </row>
    <row r="199" spans="15:15" x14ac:dyDescent="0.25">
      <c r="O199" s="93">
        <f t="shared" si="3"/>
        <v>44760</v>
      </c>
    </row>
    <row r="200" spans="15:15" x14ac:dyDescent="0.25">
      <c r="O200" s="93">
        <f t="shared" si="3"/>
        <v>44761</v>
      </c>
    </row>
    <row r="201" spans="15:15" x14ac:dyDescent="0.25">
      <c r="O201" s="93">
        <f t="shared" si="3"/>
        <v>44762</v>
      </c>
    </row>
    <row r="202" spans="15:15" x14ac:dyDescent="0.25">
      <c r="O202" s="93">
        <f t="shared" si="3"/>
        <v>44763</v>
      </c>
    </row>
    <row r="203" spans="15:15" x14ac:dyDescent="0.25">
      <c r="O203" s="93">
        <f t="shared" si="3"/>
        <v>44764</v>
      </c>
    </row>
    <row r="204" spans="15:15" x14ac:dyDescent="0.25">
      <c r="O204" s="93">
        <f t="shared" si="3"/>
        <v>44765</v>
      </c>
    </row>
    <row r="205" spans="15:15" x14ac:dyDescent="0.25">
      <c r="O205" s="93">
        <f t="shared" si="3"/>
        <v>44766</v>
      </c>
    </row>
    <row r="206" spans="15:15" x14ac:dyDescent="0.25">
      <c r="O206" s="93">
        <f t="shared" si="3"/>
        <v>44767</v>
      </c>
    </row>
    <row r="207" spans="15:15" x14ac:dyDescent="0.25">
      <c r="O207" s="93">
        <f t="shared" si="3"/>
        <v>44768</v>
      </c>
    </row>
    <row r="208" spans="15:15" x14ac:dyDescent="0.25">
      <c r="O208" s="93">
        <f t="shared" si="3"/>
        <v>44769</v>
      </c>
    </row>
    <row r="209" spans="15:15" x14ac:dyDescent="0.25">
      <c r="O209" s="93">
        <f t="shared" si="3"/>
        <v>44770</v>
      </c>
    </row>
    <row r="210" spans="15:15" x14ac:dyDescent="0.25">
      <c r="O210" s="93">
        <f t="shared" si="3"/>
        <v>44771</v>
      </c>
    </row>
    <row r="211" spans="15:15" x14ac:dyDescent="0.25">
      <c r="O211" s="93">
        <f t="shared" si="3"/>
        <v>44772</v>
      </c>
    </row>
    <row r="212" spans="15:15" x14ac:dyDescent="0.25">
      <c r="O212" s="93">
        <f t="shared" si="3"/>
        <v>44773</v>
      </c>
    </row>
    <row r="213" spans="15:15" x14ac:dyDescent="0.25">
      <c r="O213" s="93">
        <f t="shared" si="3"/>
        <v>44774</v>
      </c>
    </row>
    <row r="214" spans="15:15" x14ac:dyDescent="0.25">
      <c r="O214" s="93">
        <f t="shared" si="3"/>
        <v>44775</v>
      </c>
    </row>
    <row r="215" spans="15:15" x14ac:dyDescent="0.25">
      <c r="O215" s="93">
        <f t="shared" si="3"/>
        <v>44776</v>
      </c>
    </row>
    <row r="216" spans="15:15" x14ac:dyDescent="0.25">
      <c r="O216" s="93">
        <f t="shared" si="3"/>
        <v>44777</v>
      </c>
    </row>
    <row r="217" spans="15:15" x14ac:dyDescent="0.25">
      <c r="O217" s="93">
        <f t="shared" si="3"/>
        <v>44778</v>
      </c>
    </row>
    <row r="218" spans="15:15" x14ac:dyDescent="0.25">
      <c r="O218" s="93">
        <f t="shared" si="3"/>
        <v>44779</v>
      </c>
    </row>
    <row r="219" spans="15:15" x14ac:dyDescent="0.25">
      <c r="O219" s="93">
        <f t="shared" si="3"/>
        <v>44780</v>
      </c>
    </row>
    <row r="220" spans="15:15" x14ac:dyDescent="0.25">
      <c r="O220" s="93">
        <f t="shared" si="3"/>
        <v>44781</v>
      </c>
    </row>
    <row r="221" spans="15:15" x14ac:dyDescent="0.25">
      <c r="O221" s="93">
        <f t="shared" si="3"/>
        <v>44782</v>
      </c>
    </row>
    <row r="222" spans="15:15" x14ac:dyDescent="0.25">
      <c r="O222" s="93">
        <f t="shared" si="3"/>
        <v>44783</v>
      </c>
    </row>
    <row r="223" spans="15:15" x14ac:dyDescent="0.25">
      <c r="O223" s="93">
        <f t="shared" si="3"/>
        <v>44784</v>
      </c>
    </row>
    <row r="224" spans="15:15" x14ac:dyDescent="0.25">
      <c r="O224" s="93">
        <f t="shared" si="3"/>
        <v>44785</v>
      </c>
    </row>
    <row r="225" spans="15:15" x14ac:dyDescent="0.25">
      <c r="O225" s="93">
        <f t="shared" si="3"/>
        <v>44786</v>
      </c>
    </row>
    <row r="226" spans="15:15" x14ac:dyDescent="0.25">
      <c r="O226" s="93">
        <f t="shared" si="3"/>
        <v>44787</v>
      </c>
    </row>
    <row r="227" spans="15:15" x14ac:dyDescent="0.25">
      <c r="O227" s="93">
        <f t="shared" si="3"/>
        <v>44788</v>
      </c>
    </row>
    <row r="228" spans="15:15" x14ac:dyDescent="0.25">
      <c r="O228" s="93">
        <f t="shared" si="3"/>
        <v>44789</v>
      </c>
    </row>
    <row r="229" spans="15:15" x14ac:dyDescent="0.25">
      <c r="O229" s="93">
        <f t="shared" si="3"/>
        <v>44790</v>
      </c>
    </row>
    <row r="230" spans="15:15" x14ac:dyDescent="0.25">
      <c r="O230" s="93">
        <f t="shared" si="3"/>
        <v>44791</v>
      </c>
    </row>
    <row r="231" spans="15:15" x14ac:dyDescent="0.25">
      <c r="O231" s="93">
        <f t="shared" si="3"/>
        <v>44792</v>
      </c>
    </row>
    <row r="232" spans="15:15" x14ac:dyDescent="0.25">
      <c r="O232" s="93">
        <f t="shared" si="3"/>
        <v>44793</v>
      </c>
    </row>
    <row r="233" spans="15:15" x14ac:dyDescent="0.25">
      <c r="O233" s="93">
        <f t="shared" si="3"/>
        <v>44794</v>
      </c>
    </row>
    <row r="234" spans="15:15" x14ac:dyDescent="0.25">
      <c r="O234" s="93">
        <f t="shared" si="3"/>
        <v>44795</v>
      </c>
    </row>
    <row r="235" spans="15:15" x14ac:dyDescent="0.25">
      <c r="O235" s="93">
        <f t="shared" si="3"/>
        <v>44796</v>
      </c>
    </row>
    <row r="236" spans="15:15" x14ac:dyDescent="0.25">
      <c r="O236" s="93">
        <f t="shared" si="3"/>
        <v>44797</v>
      </c>
    </row>
    <row r="237" spans="15:15" x14ac:dyDescent="0.25">
      <c r="O237" s="93">
        <f t="shared" si="3"/>
        <v>44798</v>
      </c>
    </row>
    <row r="238" spans="15:15" x14ac:dyDescent="0.25">
      <c r="O238" s="93">
        <f t="shared" si="3"/>
        <v>44799</v>
      </c>
    </row>
    <row r="239" spans="15:15" x14ac:dyDescent="0.25">
      <c r="O239" s="93">
        <f t="shared" si="3"/>
        <v>44800</v>
      </c>
    </row>
    <row r="240" spans="15:15" x14ac:dyDescent="0.25">
      <c r="O240" s="93">
        <f t="shared" si="3"/>
        <v>44801</v>
      </c>
    </row>
    <row r="241" spans="15:15" x14ac:dyDescent="0.25">
      <c r="O241" s="93">
        <f t="shared" si="3"/>
        <v>44802</v>
      </c>
    </row>
    <row r="242" spans="15:15" x14ac:dyDescent="0.25">
      <c r="O242" s="93">
        <f t="shared" si="3"/>
        <v>44803</v>
      </c>
    </row>
    <row r="243" spans="15:15" x14ac:dyDescent="0.25">
      <c r="O243" s="93">
        <f t="shared" si="3"/>
        <v>44804</v>
      </c>
    </row>
    <row r="244" spans="15:15" x14ac:dyDescent="0.25">
      <c r="O244" s="93">
        <f t="shared" si="3"/>
        <v>44805</v>
      </c>
    </row>
    <row r="245" spans="15:15" x14ac:dyDescent="0.25">
      <c r="O245" s="93">
        <f t="shared" si="3"/>
        <v>44806</v>
      </c>
    </row>
    <row r="246" spans="15:15" x14ac:dyDescent="0.25">
      <c r="O246" s="93">
        <f t="shared" si="3"/>
        <v>44807</v>
      </c>
    </row>
    <row r="247" spans="15:15" x14ac:dyDescent="0.25">
      <c r="O247" s="93">
        <f t="shared" si="3"/>
        <v>44808</v>
      </c>
    </row>
    <row r="248" spans="15:15" x14ac:dyDescent="0.25">
      <c r="O248" s="93">
        <f t="shared" si="3"/>
        <v>44809</v>
      </c>
    </row>
    <row r="249" spans="15:15" x14ac:dyDescent="0.25">
      <c r="O249" s="93">
        <f t="shared" si="3"/>
        <v>44810</v>
      </c>
    </row>
    <row r="250" spans="15:15" x14ac:dyDescent="0.25">
      <c r="O250" s="93">
        <f t="shared" si="3"/>
        <v>44811</v>
      </c>
    </row>
    <row r="251" spans="15:15" x14ac:dyDescent="0.25">
      <c r="O251" s="93">
        <f t="shared" si="3"/>
        <v>44812</v>
      </c>
    </row>
    <row r="252" spans="15:15" x14ac:dyDescent="0.25">
      <c r="O252" s="93">
        <f t="shared" si="3"/>
        <v>44813</v>
      </c>
    </row>
    <row r="253" spans="15:15" x14ac:dyDescent="0.25">
      <c r="O253" s="93">
        <f t="shared" si="3"/>
        <v>44814</v>
      </c>
    </row>
    <row r="254" spans="15:15" x14ac:dyDescent="0.25">
      <c r="O254" s="93">
        <f t="shared" si="3"/>
        <v>44815</v>
      </c>
    </row>
    <row r="255" spans="15:15" x14ac:dyDescent="0.25">
      <c r="O255" s="93">
        <f t="shared" si="3"/>
        <v>44816</v>
      </c>
    </row>
    <row r="256" spans="15:15" x14ac:dyDescent="0.25">
      <c r="O256" s="93">
        <f t="shared" si="3"/>
        <v>44817</v>
      </c>
    </row>
    <row r="257" spans="15:15" x14ac:dyDescent="0.25">
      <c r="O257" s="93">
        <f t="shared" si="3"/>
        <v>44818</v>
      </c>
    </row>
    <row r="258" spans="15:15" x14ac:dyDescent="0.25">
      <c r="O258" s="93">
        <f t="shared" si="3"/>
        <v>44819</v>
      </c>
    </row>
    <row r="259" spans="15:15" x14ac:dyDescent="0.25">
      <c r="O259" s="93">
        <f t="shared" ref="O259:O322" si="4">O258+1</f>
        <v>44820</v>
      </c>
    </row>
    <row r="260" spans="15:15" x14ac:dyDescent="0.25">
      <c r="O260" s="93">
        <f t="shared" si="4"/>
        <v>44821</v>
      </c>
    </row>
    <row r="261" spans="15:15" x14ac:dyDescent="0.25">
      <c r="O261" s="93">
        <f t="shared" si="4"/>
        <v>44822</v>
      </c>
    </row>
    <row r="262" spans="15:15" x14ac:dyDescent="0.25">
      <c r="O262" s="93">
        <f t="shared" si="4"/>
        <v>44823</v>
      </c>
    </row>
    <row r="263" spans="15:15" x14ac:dyDescent="0.25">
      <c r="O263" s="93">
        <f t="shared" si="4"/>
        <v>44824</v>
      </c>
    </row>
    <row r="264" spans="15:15" x14ac:dyDescent="0.25">
      <c r="O264" s="93">
        <f t="shared" si="4"/>
        <v>44825</v>
      </c>
    </row>
    <row r="265" spans="15:15" x14ac:dyDescent="0.25">
      <c r="O265" s="93">
        <f t="shared" si="4"/>
        <v>44826</v>
      </c>
    </row>
    <row r="266" spans="15:15" x14ac:dyDescent="0.25">
      <c r="O266" s="93">
        <f t="shared" si="4"/>
        <v>44827</v>
      </c>
    </row>
    <row r="267" spans="15:15" x14ac:dyDescent="0.25">
      <c r="O267" s="93">
        <f t="shared" si="4"/>
        <v>44828</v>
      </c>
    </row>
    <row r="268" spans="15:15" x14ac:dyDescent="0.25">
      <c r="O268" s="93">
        <f t="shared" si="4"/>
        <v>44829</v>
      </c>
    </row>
    <row r="269" spans="15:15" x14ac:dyDescent="0.25">
      <c r="O269" s="93">
        <f t="shared" si="4"/>
        <v>44830</v>
      </c>
    </row>
    <row r="270" spans="15:15" x14ac:dyDescent="0.25">
      <c r="O270" s="93">
        <f t="shared" si="4"/>
        <v>44831</v>
      </c>
    </row>
    <row r="271" spans="15:15" x14ac:dyDescent="0.25">
      <c r="O271" s="93">
        <f t="shared" si="4"/>
        <v>44832</v>
      </c>
    </row>
    <row r="272" spans="15:15" x14ac:dyDescent="0.25">
      <c r="O272" s="93">
        <f t="shared" si="4"/>
        <v>44833</v>
      </c>
    </row>
    <row r="273" spans="15:15" x14ac:dyDescent="0.25">
      <c r="O273" s="93">
        <f t="shared" si="4"/>
        <v>44834</v>
      </c>
    </row>
    <row r="274" spans="15:15" x14ac:dyDescent="0.25">
      <c r="O274" s="93">
        <f t="shared" si="4"/>
        <v>44835</v>
      </c>
    </row>
    <row r="275" spans="15:15" x14ac:dyDescent="0.25">
      <c r="O275" s="93">
        <f t="shared" si="4"/>
        <v>44836</v>
      </c>
    </row>
    <row r="276" spans="15:15" x14ac:dyDescent="0.25">
      <c r="O276" s="93">
        <f t="shared" si="4"/>
        <v>44837</v>
      </c>
    </row>
    <row r="277" spans="15:15" x14ac:dyDescent="0.25">
      <c r="O277" s="93">
        <f t="shared" si="4"/>
        <v>44838</v>
      </c>
    </row>
    <row r="278" spans="15:15" x14ac:dyDescent="0.25">
      <c r="O278" s="93">
        <f t="shared" si="4"/>
        <v>44839</v>
      </c>
    </row>
    <row r="279" spans="15:15" x14ac:dyDescent="0.25">
      <c r="O279" s="93">
        <f t="shared" si="4"/>
        <v>44840</v>
      </c>
    </row>
    <row r="280" spans="15:15" x14ac:dyDescent="0.25">
      <c r="O280" s="93">
        <f t="shared" si="4"/>
        <v>44841</v>
      </c>
    </row>
    <row r="281" spans="15:15" x14ac:dyDescent="0.25">
      <c r="O281" s="93">
        <f t="shared" si="4"/>
        <v>44842</v>
      </c>
    </row>
    <row r="282" spans="15:15" x14ac:dyDescent="0.25">
      <c r="O282" s="93">
        <f t="shared" si="4"/>
        <v>44843</v>
      </c>
    </row>
    <row r="283" spans="15:15" x14ac:dyDescent="0.25">
      <c r="O283" s="93">
        <f t="shared" si="4"/>
        <v>44844</v>
      </c>
    </row>
    <row r="284" spans="15:15" x14ac:dyDescent="0.25">
      <c r="O284" s="93">
        <f t="shared" si="4"/>
        <v>44845</v>
      </c>
    </row>
    <row r="285" spans="15:15" x14ac:dyDescent="0.25">
      <c r="O285" s="93">
        <f t="shared" si="4"/>
        <v>44846</v>
      </c>
    </row>
    <row r="286" spans="15:15" x14ac:dyDescent="0.25">
      <c r="O286" s="93">
        <f t="shared" si="4"/>
        <v>44847</v>
      </c>
    </row>
    <row r="287" spans="15:15" x14ac:dyDescent="0.25">
      <c r="O287" s="93">
        <f t="shared" si="4"/>
        <v>44848</v>
      </c>
    </row>
    <row r="288" spans="15:15" x14ac:dyDescent="0.25">
      <c r="O288" s="93">
        <f t="shared" si="4"/>
        <v>44849</v>
      </c>
    </row>
    <row r="289" spans="15:15" x14ac:dyDescent="0.25">
      <c r="O289" s="93">
        <f t="shared" si="4"/>
        <v>44850</v>
      </c>
    </row>
    <row r="290" spans="15:15" x14ac:dyDescent="0.25">
      <c r="O290" s="93">
        <f t="shared" si="4"/>
        <v>44851</v>
      </c>
    </row>
    <row r="291" spans="15:15" x14ac:dyDescent="0.25">
      <c r="O291" s="93">
        <f t="shared" si="4"/>
        <v>44852</v>
      </c>
    </row>
    <row r="292" spans="15:15" x14ac:dyDescent="0.25">
      <c r="O292" s="93">
        <f t="shared" si="4"/>
        <v>44853</v>
      </c>
    </row>
    <row r="293" spans="15:15" x14ac:dyDescent="0.25">
      <c r="O293" s="93">
        <f t="shared" si="4"/>
        <v>44854</v>
      </c>
    </row>
    <row r="294" spans="15:15" x14ac:dyDescent="0.25">
      <c r="O294" s="93">
        <f t="shared" si="4"/>
        <v>44855</v>
      </c>
    </row>
    <row r="295" spans="15:15" x14ac:dyDescent="0.25">
      <c r="O295" s="93">
        <f t="shared" si="4"/>
        <v>44856</v>
      </c>
    </row>
    <row r="296" spans="15:15" x14ac:dyDescent="0.25">
      <c r="O296" s="93">
        <f t="shared" si="4"/>
        <v>44857</v>
      </c>
    </row>
    <row r="297" spans="15:15" x14ac:dyDescent="0.25">
      <c r="O297" s="93">
        <f t="shared" si="4"/>
        <v>44858</v>
      </c>
    </row>
    <row r="298" spans="15:15" x14ac:dyDescent="0.25">
      <c r="O298" s="93">
        <f t="shared" si="4"/>
        <v>44859</v>
      </c>
    </row>
    <row r="299" spans="15:15" x14ac:dyDescent="0.25">
      <c r="O299" s="93">
        <f t="shared" si="4"/>
        <v>44860</v>
      </c>
    </row>
    <row r="300" spans="15:15" x14ac:dyDescent="0.25">
      <c r="O300" s="93">
        <f t="shared" si="4"/>
        <v>44861</v>
      </c>
    </row>
    <row r="301" spans="15:15" x14ac:dyDescent="0.25">
      <c r="O301" s="93">
        <f t="shared" si="4"/>
        <v>44862</v>
      </c>
    </row>
    <row r="302" spans="15:15" x14ac:dyDescent="0.25">
      <c r="O302" s="93">
        <f t="shared" si="4"/>
        <v>44863</v>
      </c>
    </row>
    <row r="303" spans="15:15" x14ac:dyDescent="0.25">
      <c r="O303" s="93">
        <f t="shared" si="4"/>
        <v>44864</v>
      </c>
    </row>
    <row r="304" spans="15:15" x14ac:dyDescent="0.25">
      <c r="O304" s="93">
        <f t="shared" si="4"/>
        <v>44865</v>
      </c>
    </row>
    <row r="305" spans="15:15" x14ac:dyDescent="0.25">
      <c r="O305" s="93">
        <f t="shared" si="4"/>
        <v>44866</v>
      </c>
    </row>
    <row r="306" spans="15:15" x14ac:dyDescent="0.25">
      <c r="O306" s="93">
        <f t="shared" si="4"/>
        <v>44867</v>
      </c>
    </row>
    <row r="307" spans="15:15" x14ac:dyDescent="0.25">
      <c r="O307" s="93">
        <f t="shared" si="4"/>
        <v>44868</v>
      </c>
    </row>
    <row r="308" spans="15:15" x14ac:dyDescent="0.25">
      <c r="O308" s="93">
        <f t="shared" si="4"/>
        <v>44869</v>
      </c>
    </row>
    <row r="309" spans="15:15" x14ac:dyDescent="0.25">
      <c r="O309" s="93">
        <f t="shared" si="4"/>
        <v>44870</v>
      </c>
    </row>
    <row r="310" spans="15:15" x14ac:dyDescent="0.25">
      <c r="O310" s="93">
        <f t="shared" si="4"/>
        <v>44871</v>
      </c>
    </row>
    <row r="311" spans="15:15" x14ac:dyDescent="0.25">
      <c r="O311" s="93">
        <f t="shared" si="4"/>
        <v>44872</v>
      </c>
    </row>
    <row r="312" spans="15:15" x14ac:dyDescent="0.25">
      <c r="O312" s="93">
        <f t="shared" si="4"/>
        <v>44873</v>
      </c>
    </row>
    <row r="313" spans="15:15" x14ac:dyDescent="0.25">
      <c r="O313" s="93">
        <f t="shared" si="4"/>
        <v>44874</v>
      </c>
    </row>
    <row r="314" spans="15:15" x14ac:dyDescent="0.25">
      <c r="O314" s="93">
        <f t="shared" si="4"/>
        <v>44875</v>
      </c>
    </row>
    <row r="315" spans="15:15" x14ac:dyDescent="0.25">
      <c r="O315" s="93">
        <f t="shared" si="4"/>
        <v>44876</v>
      </c>
    </row>
    <row r="316" spans="15:15" x14ac:dyDescent="0.25">
      <c r="O316" s="93">
        <f t="shared" si="4"/>
        <v>44877</v>
      </c>
    </row>
    <row r="317" spans="15:15" x14ac:dyDescent="0.25">
      <c r="O317" s="93">
        <f t="shared" si="4"/>
        <v>44878</v>
      </c>
    </row>
    <row r="318" spans="15:15" x14ac:dyDescent="0.25">
      <c r="O318" s="93">
        <f t="shared" si="4"/>
        <v>44879</v>
      </c>
    </row>
    <row r="319" spans="15:15" x14ac:dyDescent="0.25">
      <c r="O319" s="93">
        <f t="shared" si="4"/>
        <v>44880</v>
      </c>
    </row>
    <row r="320" spans="15:15" x14ac:dyDescent="0.25">
      <c r="O320" s="93">
        <f t="shared" si="4"/>
        <v>44881</v>
      </c>
    </row>
    <row r="321" spans="15:15" x14ac:dyDescent="0.25">
      <c r="O321" s="93">
        <f t="shared" si="4"/>
        <v>44882</v>
      </c>
    </row>
    <row r="322" spans="15:15" x14ac:dyDescent="0.25">
      <c r="O322" s="93">
        <f t="shared" si="4"/>
        <v>44883</v>
      </c>
    </row>
    <row r="323" spans="15:15" x14ac:dyDescent="0.25">
      <c r="O323" s="93">
        <f t="shared" ref="O323:O365" si="5">O322+1</f>
        <v>44884</v>
      </c>
    </row>
    <row r="324" spans="15:15" x14ac:dyDescent="0.25">
      <c r="O324" s="93">
        <f t="shared" si="5"/>
        <v>44885</v>
      </c>
    </row>
    <row r="325" spans="15:15" x14ac:dyDescent="0.25">
      <c r="O325" s="93">
        <f t="shared" si="5"/>
        <v>44886</v>
      </c>
    </row>
    <row r="326" spans="15:15" x14ac:dyDescent="0.25">
      <c r="O326" s="93">
        <f t="shared" si="5"/>
        <v>44887</v>
      </c>
    </row>
    <row r="327" spans="15:15" x14ac:dyDescent="0.25">
      <c r="O327" s="93">
        <f t="shared" si="5"/>
        <v>44888</v>
      </c>
    </row>
    <row r="328" spans="15:15" x14ac:dyDescent="0.25">
      <c r="O328" s="93">
        <f t="shared" si="5"/>
        <v>44889</v>
      </c>
    </row>
    <row r="329" spans="15:15" x14ac:dyDescent="0.25">
      <c r="O329" s="93">
        <f t="shared" si="5"/>
        <v>44890</v>
      </c>
    </row>
    <row r="330" spans="15:15" x14ac:dyDescent="0.25">
      <c r="O330" s="93">
        <f t="shared" si="5"/>
        <v>44891</v>
      </c>
    </row>
    <row r="331" spans="15:15" x14ac:dyDescent="0.25">
      <c r="O331" s="93">
        <f t="shared" si="5"/>
        <v>44892</v>
      </c>
    </row>
    <row r="332" spans="15:15" x14ac:dyDescent="0.25">
      <c r="O332" s="93">
        <f t="shared" si="5"/>
        <v>44893</v>
      </c>
    </row>
    <row r="333" spans="15:15" x14ac:dyDescent="0.25">
      <c r="O333" s="93">
        <f t="shared" si="5"/>
        <v>44894</v>
      </c>
    </row>
    <row r="334" spans="15:15" x14ac:dyDescent="0.25">
      <c r="O334" s="93">
        <f t="shared" si="5"/>
        <v>44895</v>
      </c>
    </row>
    <row r="335" spans="15:15" x14ac:dyDescent="0.25">
      <c r="O335" s="93">
        <f t="shared" si="5"/>
        <v>44896</v>
      </c>
    </row>
    <row r="336" spans="15:15" x14ac:dyDescent="0.25">
      <c r="O336" s="93">
        <f t="shared" si="5"/>
        <v>44897</v>
      </c>
    </row>
    <row r="337" spans="15:15" x14ac:dyDescent="0.25">
      <c r="O337" s="93">
        <f t="shared" si="5"/>
        <v>44898</v>
      </c>
    </row>
    <row r="338" spans="15:15" x14ac:dyDescent="0.25">
      <c r="O338" s="93">
        <f t="shared" si="5"/>
        <v>44899</v>
      </c>
    </row>
    <row r="339" spans="15:15" x14ac:dyDescent="0.25">
      <c r="O339" s="93">
        <f t="shared" si="5"/>
        <v>44900</v>
      </c>
    </row>
    <row r="340" spans="15:15" x14ac:dyDescent="0.25">
      <c r="O340" s="93">
        <f t="shared" si="5"/>
        <v>44901</v>
      </c>
    </row>
    <row r="341" spans="15:15" x14ac:dyDescent="0.25">
      <c r="O341" s="93">
        <f t="shared" si="5"/>
        <v>44902</v>
      </c>
    </row>
    <row r="342" spans="15:15" x14ac:dyDescent="0.25">
      <c r="O342" s="93">
        <f t="shared" si="5"/>
        <v>44903</v>
      </c>
    </row>
    <row r="343" spans="15:15" x14ac:dyDescent="0.25">
      <c r="O343" s="93">
        <f t="shared" si="5"/>
        <v>44904</v>
      </c>
    </row>
    <row r="344" spans="15:15" x14ac:dyDescent="0.25">
      <c r="O344" s="93">
        <f t="shared" si="5"/>
        <v>44905</v>
      </c>
    </row>
    <row r="345" spans="15:15" x14ac:dyDescent="0.25">
      <c r="O345" s="93">
        <f t="shared" si="5"/>
        <v>44906</v>
      </c>
    </row>
    <row r="346" spans="15:15" x14ac:dyDescent="0.25">
      <c r="O346" s="93">
        <f t="shared" si="5"/>
        <v>44907</v>
      </c>
    </row>
    <row r="347" spans="15:15" x14ac:dyDescent="0.25">
      <c r="O347" s="93">
        <f t="shared" si="5"/>
        <v>44908</v>
      </c>
    </row>
    <row r="348" spans="15:15" x14ac:dyDescent="0.25">
      <c r="O348" s="93">
        <f t="shared" si="5"/>
        <v>44909</v>
      </c>
    </row>
    <row r="349" spans="15:15" x14ac:dyDescent="0.25">
      <c r="O349" s="93">
        <f t="shared" si="5"/>
        <v>44910</v>
      </c>
    </row>
    <row r="350" spans="15:15" x14ac:dyDescent="0.25">
      <c r="O350" s="93">
        <f t="shared" si="5"/>
        <v>44911</v>
      </c>
    </row>
    <row r="351" spans="15:15" x14ac:dyDescent="0.25">
      <c r="O351" s="93">
        <f t="shared" si="5"/>
        <v>44912</v>
      </c>
    </row>
    <row r="352" spans="15:15" x14ac:dyDescent="0.25">
      <c r="O352" s="93">
        <f t="shared" si="5"/>
        <v>44913</v>
      </c>
    </row>
    <row r="353" spans="15:15" x14ac:dyDescent="0.25">
      <c r="O353" s="93">
        <f t="shared" si="5"/>
        <v>44914</v>
      </c>
    </row>
    <row r="354" spans="15:15" x14ac:dyDescent="0.25">
      <c r="O354" s="93">
        <f t="shared" si="5"/>
        <v>44915</v>
      </c>
    </row>
    <row r="355" spans="15:15" x14ac:dyDescent="0.25">
      <c r="O355" s="93">
        <f t="shared" si="5"/>
        <v>44916</v>
      </c>
    </row>
    <row r="356" spans="15:15" x14ac:dyDescent="0.25">
      <c r="O356" s="93">
        <f t="shared" si="5"/>
        <v>44917</v>
      </c>
    </row>
    <row r="357" spans="15:15" x14ac:dyDescent="0.25">
      <c r="O357" s="93">
        <f t="shared" si="5"/>
        <v>44918</v>
      </c>
    </row>
    <row r="358" spans="15:15" x14ac:dyDescent="0.25">
      <c r="O358" s="93">
        <f t="shared" si="5"/>
        <v>44919</v>
      </c>
    </row>
    <row r="359" spans="15:15" x14ac:dyDescent="0.25">
      <c r="O359" s="93">
        <f t="shared" si="5"/>
        <v>44920</v>
      </c>
    </row>
    <row r="360" spans="15:15" x14ac:dyDescent="0.25">
      <c r="O360" s="93">
        <f t="shared" si="5"/>
        <v>44921</v>
      </c>
    </row>
    <row r="361" spans="15:15" x14ac:dyDescent="0.25">
      <c r="O361" s="93">
        <f t="shared" si="5"/>
        <v>44922</v>
      </c>
    </row>
    <row r="362" spans="15:15" x14ac:dyDescent="0.25">
      <c r="O362" s="93">
        <f t="shared" si="5"/>
        <v>44923</v>
      </c>
    </row>
    <row r="363" spans="15:15" x14ac:dyDescent="0.25">
      <c r="O363" s="93">
        <f t="shared" si="5"/>
        <v>44924</v>
      </c>
    </row>
    <row r="364" spans="15:15" x14ac:dyDescent="0.25">
      <c r="O364" s="93">
        <f t="shared" si="5"/>
        <v>44925</v>
      </c>
    </row>
    <row r="365" spans="15:15" x14ac:dyDescent="0.25">
      <c r="O365" s="93">
        <f t="shared" si="5"/>
        <v>44926</v>
      </c>
    </row>
  </sheetData>
  <sheetProtection password="C252" sheet="1" objects="1" scenarios="1" selectLockedCells="1"/>
  <mergeCells count="2">
    <mergeCell ref="A1:C1"/>
    <mergeCell ref="D1:F1"/>
  </mergeCells>
  <phoneticPr fontId="10" type="noConversion"/>
  <conditionalFormatting sqref="B2 D2">
    <cfRule type="expression" dxfId="1" priority="2" stopIfTrue="1">
      <formula>$I$3=1</formula>
    </cfRule>
  </conditionalFormatting>
  <dataValidations count="3">
    <dataValidation type="list" allowBlank="1" showInputMessage="1" showErrorMessage="1" sqref="C2" xr:uid="{00000000-0002-0000-0200-000000000000}">
      <formula1>compte</formula1>
    </dataValidation>
    <dataValidation type="list" allowBlank="1" showInputMessage="1" showErrorMessage="1" sqref="C4:D102" xr:uid="{00000000-0002-0000-0200-000001000000}">
      <formula1>comptes</formula1>
    </dataValidation>
    <dataValidation type="list" allowBlank="1" showInputMessage="1" showErrorMessage="1" sqref="A4:A102" xr:uid="{00000000-0002-0000-0200-000002000000}">
      <formula1>date</formula1>
    </dataValidation>
  </dataValidations>
  <pageMargins left="0.7" right="0.7" top="0.75" bottom="0.75" header="0.3" footer="0.3"/>
  <pageSetup paperSize="9" orientation="portrait" horizont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11273" r:id="rId4" name="Button 9">
              <controlPr defaultSize="0" print="0" autoFill="0" autoPict="0" macro="[0]!Bouton9_Cliquer">
                <anchor moveWithCells="1" sizeWithCells="1">
                  <from>
                    <xdr:col>7</xdr:col>
                    <xdr:colOff>19050</xdr:colOff>
                    <xdr:row>0</xdr:row>
                    <xdr:rowOff>19050</xdr:rowOff>
                  </from>
                  <to>
                    <xdr:col>8</xdr:col>
                    <xdr:colOff>114300</xdr:colOff>
                    <xdr:row>1</xdr:row>
                    <xdr:rowOff>0</xdr:rowOff>
                  </to>
                </anchor>
              </controlPr>
            </control>
          </mc:Choice>
        </mc:AlternateContent>
      </controls>
    </mc:Choice>
  </mc:AlternateContent>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tabColor theme="5" tint="0.59999389629810485"/>
  </sheetPr>
  <dimension ref="A2:F19"/>
  <sheetViews>
    <sheetView workbookViewId="0">
      <selection activeCell="B17" sqref="B17"/>
    </sheetView>
  </sheetViews>
  <sheetFormatPr baseColWidth="10" defaultRowHeight="15" x14ac:dyDescent="0.25"/>
  <cols>
    <col min="1" max="1" width="10.85546875" style="1"/>
    <col min="2" max="2" width="36.7109375" customWidth="1"/>
    <col min="3" max="3" width="19.28515625" style="1" customWidth="1"/>
    <col min="4" max="4" width="13.42578125" style="1" customWidth="1"/>
    <col min="5" max="5" width="36.140625" customWidth="1"/>
    <col min="6" max="6" width="17" style="1" customWidth="1"/>
  </cols>
  <sheetData>
    <row r="2" spans="1:6" x14ac:dyDescent="0.25">
      <c r="A2" s="27"/>
      <c r="B2" s="192" t="s">
        <v>6</v>
      </c>
      <c r="C2" s="193"/>
      <c r="D2" s="193"/>
      <c r="E2" s="193"/>
      <c r="F2" s="194"/>
    </row>
    <row r="3" spans="1:6" x14ac:dyDescent="0.25">
      <c r="A3" s="28"/>
      <c r="B3" s="195"/>
      <c r="C3" s="195"/>
      <c r="D3" s="195"/>
      <c r="E3" s="195"/>
      <c r="F3" s="196"/>
    </row>
    <row r="4" spans="1:6" ht="28.5" customHeight="1" x14ac:dyDescent="0.25">
      <c r="A4" s="21"/>
      <c r="B4" s="11" t="s">
        <v>18</v>
      </c>
      <c r="C4" s="33" t="s">
        <v>57</v>
      </c>
      <c r="D4" s="12"/>
      <c r="E4" s="11" t="s">
        <v>58</v>
      </c>
      <c r="F4" s="34" t="s">
        <v>57</v>
      </c>
    </row>
    <row r="5" spans="1:6" x14ac:dyDescent="0.25">
      <c r="A5" s="21"/>
      <c r="B5" s="14"/>
      <c r="C5" s="34"/>
      <c r="D5" s="13"/>
      <c r="E5" s="14"/>
      <c r="F5" s="34"/>
    </row>
    <row r="6" spans="1:6" x14ac:dyDescent="0.25">
      <c r="A6" s="30">
        <v>454000</v>
      </c>
      <c r="B6" s="31" t="s">
        <v>142</v>
      </c>
      <c r="C6" s="34">
        <f>'Bilan Clôture'!F27</f>
        <v>0</v>
      </c>
      <c r="D6" s="13"/>
      <c r="E6" s="14"/>
      <c r="F6" s="34"/>
    </row>
    <row r="7" spans="1:6" x14ac:dyDescent="0.25">
      <c r="A7" s="30">
        <v>611000</v>
      </c>
      <c r="B7" s="31" t="s">
        <v>135</v>
      </c>
      <c r="C7" s="34">
        <f>'Bilan Clôture'!F28</f>
        <v>7167.5</v>
      </c>
      <c r="D7" s="13"/>
      <c r="E7" s="20"/>
      <c r="F7" s="34"/>
    </row>
    <row r="8" spans="1:6" x14ac:dyDescent="0.25">
      <c r="A8" s="30">
        <v>611100</v>
      </c>
      <c r="B8" s="31" t="s">
        <v>101</v>
      </c>
      <c r="C8" s="34">
        <f>'Bilan Clôture'!F29</f>
        <v>0</v>
      </c>
      <c r="D8" s="13"/>
      <c r="E8" s="14"/>
      <c r="F8" s="34"/>
    </row>
    <row r="9" spans="1:6" x14ac:dyDescent="0.25">
      <c r="A9" s="30">
        <v>611200</v>
      </c>
      <c r="B9" s="31" t="s">
        <v>137</v>
      </c>
      <c r="C9" s="34">
        <f>'Bilan Clôture'!F30</f>
        <v>59688.680000000008</v>
      </c>
      <c r="D9" s="13"/>
      <c r="E9" s="14"/>
      <c r="F9" s="34"/>
    </row>
    <row r="10" spans="1:6" x14ac:dyDescent="0.25">
      <c r="A10" s="30">
        <v>611500</v>
      </c>
      <c r="B10" s="31" t="s">
        <v>45</v>
      </c>
      <c r="C10" s="34">
        <f>'Bilan Clôture'!F31</f>
        <v>0</v>
      </c>
      <c r="D10" s="13"/>
      <c r="E10" s="14"/>
      <c r="F10" s="34"/>
    </row>
    <row r="11" spans="1:6" x14ac:dyDescent="0.25">
      <c r="A11" s="30">
        <v>614000</v>
      </c>
      <c r="B11" s="31" t="s">
        <v>46</v>
      </c>
      <c r="C11" s="34">
        <f>'Bilan Clôture'!F32</f>
        <v>0</v>
      </c>
      <c r="D11" s="13"/>
      <c r="E11" s="14"/>
      <c r="F11" s="34"/>
    </row>
    <row r="12" spans="1:6" x14ac:dyDescent="0.25">
      <c r="A12" s="30">
        <v>621000</v>
      </c>
      <c r="B12" s="31" t="s">
        <v>140</v>
      </c>
      <c r="C12" s="34">
        <f>'Bilan Clôture'!F33</f>
        <v>8000.3</v>
      </c>
      <c r="D12" s="30">
        <v>3201</v>
      </c>
      <c r="E12" s="31" t="s">
        <v>71</v>
      </c>
      <c r="F12" s="34">
        <f>-'Bilan Clôture'!F39</f>
        <v>0</v>
      </c>
    </row>
    <row r="13" spans="1:6" x14ac:dyDescent="0.25">
      <c r="A13" s="30">
        <v>613000</v>
      </c>
      <c r="B13" s="31" t="s">
        <v>48</v>
      </c>
      <c r="C13" s="34">
        <f>'Bilan Clôture'!F34</f>
        <v>0</v>
      </c>
      <c r="D13" s="30">
        <v>3202</v>
      </c>
      <c r="E13" s="31" t="s">
        <v>72</v>
      </c>
      <c r="F13" s="34">
        <f>-'Bilan Clôture'!F40</f>
        <v>0</v>
      </c>
    </row>
    <row r="14" spans="1:6" x14ac:dyDescent="0.25">
      <c r="A14" s="30">
        <v>618000</v>
      </c>
      <c r="B14" s="31" t="s">
        <v>134</v>
      </c>
      <c r="C14" s="34">
        <f>'Bilan Clôture'!F35</f>
        <v>0</v>
      </c>
      <c r="D14" s="30">
        <v>3203</v>
      </c>
      <c r="E14" s="31" t="s">
        <v>103</v>
      </c>
      <c r="F14" s="34">
        <f>-'Bilan Clôture'!F41</f>
        <v>0</v>
      </c>
    </row>
    <row r="15" spans="1:6" x14ac:dyDescent="0.25">
      <c r="A15" s="30">
        <v>670000</v>
      </c>
      <c r="B15" s="31" t="s">
        <v>40</v>
      </c>
      <c r="C15" s="34">
        <f>'Bilan Clôture'!F36</f>
        <v>0</v>
      </c>
      <c r="D15" s="30">
        <v>3400</v>
      </c>
      <c r="E15" s="31" t="s">
        <v>44</v>
      </c>
      <c r="F15" s="34">
        <f>-'Bilan Clôture'!F42</f>
        <v>0</v>
      </c>
    </row>
    <row r="16" spans="1:6" x14ac:dyDescent="0.25">
      <c r="A16" s="30">
        <v>630000</v>
      </c>
      <c r="B16" s="31" t="s">
        <v>43</v>
      </c>
      <c r="C16" s="34">
        <f>'Bilan Clôture'!F37</f>
        <v>0</v>
      </c>
      <c r="D16" s="30">
        <v>3600</v>
      </c>
      <c r="E16" s="31" t="s">
        <v>73</v>
      </c>
      <c r="F16" s="34">
        <f>-'Bilan Clôture'!F43</f>
        <v>0</v>
      </c>
    </row>
    <row r="17" spans="1:6" x14ac:dyDescent="0.25">
      <c r="A17" s="30">
        <v>657000</v>
      </c>
      <c r="B17" s="31" t="s">
        <v>104</v>
      </c>
      <c r="C17" s="34">
        <f>'Bilan Clôture'!F38</f>
        <v>77.319999999999993</v>
      </c>
      <c r="D17" s="30">
        <v>3630</v>
      </c>
      <c r="E17" s="31" t="s">
        <v>106</v>
      </c>
      <c r="F17" s="34">
        <f>-'Bilan Clôture'!F44</f>
        <v>0</v>
      </c>
    </row>
    <row r="18" spans="1:6" x14ac:dyDescent="0.25">
      <c r="A18" s="30">
        <v>140000</v>
      </c>
      <c r="B18" s="32" t="s">
        <v>41</v>
      </c>
      <c r="C18" s="35">
        <f>SUM(F12:F18)-SUM(C6:C17)</f>
        <v>-74933.800000000017</v>
      </c>
      <c r="D18" s="30">
        <v>700000</v>
      </c>
      <c r="E18" s="31" t="s">
        <v>138</v>
      </c>
      <c r="F18" s="34">
        <f>-'Bilan Clôture'!F45</f>
        <v>0</v>
      </c>
    </row>
    <row r="19" spans="1:6" x14ac:dyDescent="0.25">
      <c r="A19" s="21"/>
      <c r="B19" s="11" t="s">
        <v>16</v>
      </c>
      <c r="C19" s="36">
        <f>SUM(C6:C18)</f>
        <v>0</v>
      </c>
      <c r="D19" s="12"/>
      <c r="E19" s="11"/>
      <c r="F19" s="36">
        <f>SUM(F10:F18)</f>
        <v>0</v>
      </c>
    </row>
  </sheetData>
  <sheetProtection password="C252" sheet="1" objects="1" scenarios="1" selectLockedCells="1"/>
  <mergeCells count="1">
    <mergeCell ref="B2:F3"/>
  </mergeCells>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3314" r:id="rId3" name="Button 2">
              <controlPr defaultSize="0" print="0" autoFill="0" autoPict="0" macro="[0]!Résultat_Bouton2_Cliquer">
                <anchor moveWithCells="1" sizeWithCells="1">
                  <from>
                    <xdr:col>8</xdr:col>
                    <xdr:colOff>9525</xdr:colOff>
                    <xdr:row>1</xdr:row>
                    <xdr:rowOff>19050</xdr:rowOff>
                  </from>
                  <to>
                    <xdr:col>9</xdr:col>
                    <xdr:colOff>628650</xdr:colOff>
                    <xdr:row>2</xdr:row>
                    <xdr:rowOff>76200</xdr:rowOff>
                  </to>
                </anchor>
              </controlPr>
            </control>
          </mc:Choice>
        </mc:AlternateContent>
      </controls>
    </mc:Choice>
  </mc:AlternateContent>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7"/>
  <dimension ref="A1:F58"/>
  <sheetViews>
    <sheetView topLeftCell="A6" workbookViewId="0">
      <selection activeCell="B13" sqref="B13"/>
    </sheetView>
  </sheetViews>
  <sheetFormatPr baseColWidth="10" defaultColWidth="10.85546875" defaultRowHeight="12.75" x14ac:dyDescent="0.2"/>
  <cols>
    <col min="1" max="1" width="16.140625" style="39" customWidth="1"/>
    <col min="2" max="2" width="12.85546875" style="39" customWidth="1"/>
    <col min="3" max="3" width="10.5703125" style="39" customWidth="1"/>
    <col min="4" max="4" width="10.7109375" style="39" customWidth="1"/>
    <col min="5" max="5" width="9.85546875" style="39" customWidth="1"/>
    <col min="6" max="6" width="21.5703125" style="39" customWidth="1"/>
    <col min="7" max="8" width="13.85546875" style="39" customWidth="1"/>
    <col min="9" max="9" width="11.28515625" style="39" bestFit="1" customWidth="1"/>
    <col min="10" max="16384" width="10.85546875" style="39"/>
  </cols>
  <sheetData>
    <row r="1" spans="1:6" ht="23.25" x14ac:dyDescent="0.35">
      <c r="A1" s="73" t="s">
        <v>56</v>
      </c>
      <c r="B1" s="38"/>
      <c r="C1" s="38"/>
      <c r="D1" s="38"/>
      <c r="E1" s="38"/>
      <c r="F1" s="38"/>
    </row>
    <row r="2" spans="1:6" ht="24" thickBot="1" x14ac:dyDescent="0.4">
      <c r="A2" s="73"/>
      <c r="B2" s="38"/>
      <c r="C2" s="38"/>
      <c r="D2" s="38"/>
      <c r="E2" s="38"/>
      <c r="F2" s="38"/>
    </row>
    <row r="3" spans="1:6" ht="18.75" x14ac:dyDescent="0.3">
      <c r="A3" s="154" t="s">
        <v>39</v>
      </c>
      <c r="B3" s="155"/>
      <c r="C3" s="155"/>
      <c r="D3" s="155"/>
      <c r="E3" s="198"/>
      <c r="F3" s="199"/>
    </row>
    <row r="4" spans="1:6" x14ac:dyDescent="0.2">
      <c r="A4" s="156"/>
      <c r="F4" s="157"/>
    </row>
    <row r="5" spans="1:6" x14ac:dyDescent="0.2">
      <c r="A5" s="156" t="s">
        <v>19</v>
      </c>
      <c r="B5" s="170"/>
      <c r="C5" s="39" t="s">
        <v>20</v>
      </c>
      <c r="D5" s="201"/>
      <c r="E5" s="201"/>
      <c r="F5" s="157"/>
    </row>
    <row r="6" spans="1:6" x14ac:dyDescent="0.2">
      <c r="A6" s="156"/>
      <c r="F6" s="157"/>
    </row>
    <row r="7" spans="1:6" x14ac:dyDescent="0.2">
      <c r="A7" s="156" t="s">
        <v>21</v>
      </c>
      <c r="B7" s="39" t="s">
        <v>22</v>
      </c>
      <c r="C7" s="39" t="s">
        <v>23</v>
      </c>
      <c r="D7" s="39" t="s">
        <v>21</v>
      </c>
      <c r="E7" s="39" t="s">
        <v>24</v>
      </c>
      <c r="F7" s="157" t="s">
        <v>25</v>
      </c>
    </row>
    <row r="8" spans="1:6" x14ac:dyDescent="0.2">
      <c r="A8" s="156"/>
      <c r="F8" s="157"/>
    </row>
    <row r="9" spans="1:6" x14ac:dyDescent="0.2">
      <c r="A9" s="156"/>
      <c r="B9" s="72">
        <v>0</v>
      </c>
      <c r="C9" s="39" t="s">
        <v>23</v>
      </c>
      <c r="D9" s="72">
        <v>200</v>
      </c>
      <c r="E9" s="39" t="s">
        <v>24</v>
      </c>
      <c r="F9" s="158">
        <f>PRODUCT(B9,D9)</f>
        <v>0</v>
      </c>
    </row>
    <row r="10" spans="1:6" x14ac:dyDescent="0.2">
      <c r="A10" s="156"/>
      <c r="B10" s="72">
        <v>0</v>
      </c>
      <c r="C10" s="39" t="s">
        <v>23</v>
      </c>
      <c r="D10" s="72">
        <v>100</v>
      </c>
      <c r="E10" s="39" t="s">
        <v>24</v>
      </c>
      <c r="F10" s="158">
        <f t="shared" ref="F10:F13" si="0">PRODUCT(B10,D10)</f>
        <v>0</v>
      </c>
    </row>
    <row r="11" spans="1:6" x14ac:dyDescent="0.2">
      <c r="A11" s="156"/>
      <c r="B11" s="72">
        <v>0</v>
      </c>
      <c r="C11" s="39" t="s">
        <v>23</v>
      </c>
      <c r="D11" s="72">
        <v>50</v>
      </c>
      <c r="E11" s="39" t="s">
        <v>24</v>
      </c>
      <c r="F11" s="158">
        <f t="shared" si="0"/>
        <v>0</v>
      </c>
    </row>
    <row r="12" spans="1:6" x14ac:dyDescent="0.2">
      <c r="A12" s="156"/>
      <c r="B12" s="72">
        <v>0</v>
      </c>
      <c r="C12" s="39" t="s">
        <v>23</v>
      </c>
      <c r="D12" s="72">
        <v>20</v>
      </c>
      <c r="E12" s="39" t="s">
        <v>24</v>
      </c>
      <c r="F12" s="158">
        <f t="shared" si="0"/>
        <v>0</v>
      </c>
    </row>
    <row r="13" spans="1:6" x14ac:dyDescent="0.2">
      <c r="A13" s="156"/>
      <c r="B13" s="72">
        <v>0</v>
      </c>
      <c r="C13" s="39" t="s">
        <v>23</v>
      </c>
      <c r="D13" s="72">
        <v>10</v>
      </c>
      <c r="E13" s="39" t="s">
        <v>24</v>
      </c>
      <c r="F13" s="158">
        <f t="shared" si="0"/>
        <v>0</v>
      </c>
    </row>
    <row r="14" spans="1:6" x14ac:dyDescent="0.2">
      <c r="A14" s="156"/>
      <c r="F14" s="157"/>
    </row>
    <row r="15" spans="1:6" x14ac:dyDescent="0.2">
      <c r="A15" s="156" t="s">
        <v>26</v>
      </c>
      <c r="B15" s="39" t="s">
        <v>22</v>
      </c>
      <c r="C15" s="39" t="s">
        <v>23</v>
      </c>
      <c r="D15" s="39" t="s">
        <v>27</v>
      </c>
      <c r="F15" s="157" t="s">
        <v>25</v>
      </c>
    </row>
    <row r="16" spans="1:6" x14ac:dyDescent="0.2">
      <c r="A16" s="156"/>
      <c r="F16" s="157"/>
    </row>
    <row r="17" spans="1:6" x14ac:dyDescent="0.2">
      <c r="A17" s="156"/>
      <c r="B17" s="72">
        <v>0</v>
      </c>
      <c r="C17" s="39" t="s">
        <v>23</v>
      </c>
      <c r="D17" s="72">
        <v>5</v>
      </c>
      <c r="E17" s="39" t="s">
        <v>24</v>
      </c>
      <c r="F17" s="158">
        <f>PRODUCT(B17,D17)</f>
        <v>0</v>
      </c>
    </row>
    <row r="18" spans="1:6" x14ac:dyDescent="0.2">
      <c r="A18" s="156"/>
      <c r="B18" s="72">
        <v>0</v>
      </c>
      <c r="C18" s="39" t="s">
        <v>23</v>
      </c>
      <c r="D18" s="72">
        <v>2</v>
      </c>
      <c r="E18" s="39" t="s">
        <v>24</v>
      </c>
      <c r="F18" s="158">
        <f t="shared" ref="F18:F23" si="1">PRODUCT(B18,D18)</f>
        <v>0</v>
      </c>
    </row>
    <row r="19" spans="1:6" x14ac:dyDescent="0.2">
      <c r="A19" s="156"/>
      <c r="B19" s="72">
        <v>0</v>
      </c>
      <c r="C19" s="39" t="s">
        <v>23</v>
      </c>
      <c r="D19" s="72">
        <v>1</v>
      </c>
      <c r="E19" s="39" t="s">
        <v>24</v>
      </c>
      <c r="F19" s="158">
        <f t="shared" si="1"/>
        <v>0</v>
      </c>
    </row>
    <row r="20" spans="1:6" x14ac:dyDescent="0.2">
      <c r="A20" s="156"/>
      <c r="B20" s="72">
        <v>0</v>
      </c>
      <c r="C20" s="39" t="s">
        <v>23</v>
      </c>
      <c r="D20" s="72">
        <v>0.5</v>
      </c>
      <c r="E20" s="39" t="s">
        <v>24</v>
      </c>
      <c r="F20" s="158">
        <f t="shared" si="1"/>
        <v>0</v>
      </c>
    </row>
    <row r="21" spans="1:6" x14ac:dyDescent="0.2">
      <c r="A21" s="156"/>
      <c r="B21" s="72">
        <v>0</v>
      </c>
      <c r="C21" s="39" t="s">
        <v>23</v>
      </c>
      <c r="D21" s="72">
        <v>0.2</v>
      </c>
      <c r="E21" s="39" t="s">
        <v>24</v>
      </c>
      <c r="F21" s="158">
        <f t="shared" si="1"/>
        <v>0</v>
      </c>
    </row>
    <row r="22" spans="1:6" x14ac:dyDescent="0.2">
      <c r="A22" s="156"/>
      <c r="B22" s="72">
        <v>0</v>
      </c>
      <c r="C22" s="39" t="s">
        <v>23</v>
      </c>
      <c r="D22" s="72">
        <v>0.1</v>
      </c>
      <c r="E22" s="39" t="s">
        <v>24</v>
      </c>
      <c r="F22" s="158">
        <f t="shared" si="1"/>
        <v>0</v>
      </c>
    </row>
    <row r="23" spans="1:6" x14ac:dyDescent="0.2">
      <c r="A23" s="156"/>
      <c r="B23" s="72">
        <v>0</v>
      </c>
      <c r="C23" s="39" t="s">
        <v>23</v>
      </c>
      <c r="D23" s="72">
        <v>0.05</v>
      </c>
      <c r="E23" s="39" t="s">
        <v>24</v>
      </c>
      <c r="F23" s="158">
        <f t="shared" si="1"/>
        <v>0</v>
      </c>
    </row>
    <row r="24" spans="1:6" x14ac:dyDescent="0.2">
      <c r="A24" s="156"/>
      <c r="F24" s="157"/>
    </row>
    <row r="25" spans="1:6" x14ac:dyDescent="0.2">
      <c r="A25" s="156"/>
      <c r="B25" s="39" t="s">
        <v>16</v>
      </c>
      <c r="F25" s="158">
        <f>SUM(F9:F24)</f>
        <v>0</v>
      </c>
    </row>
    <row r="26" spans="1:6" x14ac:dyDescent="0.2">
      <c r="A26" s="156"/>
      <c r="F26" s="157"/>
    </row>
    <row r="27" spans="1:6" x14ac:dyDescent="0.2">
      <c r="A27" s="156"/>
      <c r="B27" s="167" t="s">
        <v>28</v>
      </c>
      <c r="C27" s="167"/>
      <c r="D27" s="168">
        <f>F25</f>
        <v>0</v>
      </c>
      <c r="E27" s="167"/>
      <c r="F27" s="169">
        <f>D27</f>
        <v>0</v>
      </c>
    </row>
    <row r="28" spans="1:6" x14ac:dyDescent="0.2">
      <c r="A28" s="156"/>
      <c r="F28" s="157"/>
    </row>
    <row r="29" spans="1:6" ht="18.75" x14ac:dyDescent="0.2">
      <c r="A29" s="159" t="s">
        <v>37</v>
      </c>
      <c r="F29" s="157"/>
    </row>
    <row r="30" spans="1:6" ht="10.5" customHeight="1" x14ac:dyDescent="0.2">
      <c r="A30" s="159"/>
      <c r="F30" s="157"/>
    </row>
    <row r="31" spans="1:6" ht="10.5" customHeight="1" x14ac:dyDescent="0.2">
      <c r="A31" s="160" t="s">
        <v>39</v>
      </c>
      <c r="E31" s="197"/>
      <c r="F31" s="200"/>
    </row>
    <row r="32" spans="1:6" ht="10.5" customHeight="1" x14ac:dyDescent="0.2">
      <c r="A32" s="159"/>
      <c r="F32" s="157"/>
    </row>
    <row r="33" spans="1:6" x14ac:dyDescent="0.2">
      <c r="A33" s="156" t="s">
        <v>19</v>
      </c>
      <c r="B33" s="151"/>
      <c r="C33" s="39" t="s">
        <v>20</v>
      </c>
      <c r="D33" s="197"/>
      <c r="E33" s="197"/>
      <c r="F33" s="157"/>
    </row>
    <row r="34" spans="1:6" x14ac:dyDescent="0.2">
      <c r="A34" s="156"/>
      <c r="F34" s="157"/>
    </row>
    <row r="35" spans="1:6" x14ac:dyDescent="0.2">
      <c r="A35" s="156" t="s">
        <v>21</v>
      </c>
      <c r="B35" s="39" t="s">
        <v>22</v>
      </c>
      <c r="C35" s="39" t="s">
        <v>23</v>
      </c>
      <c r="D35" s="39" t="s">
        <v>21</v>
      </c>
      <c r="E35" s="39" t="s">
        <v>24</v>
      </c>
      <c r="F35" s="157" t="s">
        <v>25</v>
      </c>
    </row>
    <row r="36" spans="1:6" x14ac:dyDescent="0.2">
      <c r="A36" s="156"/>
      <c r="F36" s="157"/>
    </row>
    <row r="37" spans="1:6" x14ac:dyDescent="0.2">
      <c r="A37" s="156"/>
      <c r="B37" s="72">
        <v>0</v>
      </c>
      <c r="C37" s="39" t="s">
        <v>23</v>
      </c>
      <c r="D37" s="72">
        <v>200</v>
      </c>
      <c r="E37" s="39" t="s">
        <v>24</v>
      </c>
      <c r="F37" s="158">
        <f>PRODUCT(B37,D37)</f>
        <v>0</v>
      </c>
    </row>
    <row r="38" spans="1:6" x14ac:dyDescent="0.2">
      <c r="A38" s="156"/>
      <c r="B38" s="72">
        <v>0</v>
      </c>
      <c r="C38" s="39" t="s">
        <v>23</v>
      </c>
      <c r="D38" s="72">
        <v>100</v>
      </c>
      <c r="E38" s="39" t="s">
        <v>24</v>
      </c>
      <c r="F38" s="158">
        <f t="shared" ref="F38:F41" si="2">PRODUCT(B38,D38)</f>
        <v>0</v>
      </c>
    </row>
    <row r="39" spans="1:6" x14ac:dyDescent="0.2">
      <c r="A39" s="156"/>
      <c r="B39" s="72">
        <v>0</v>
      </c>
      <c r="C39" s="39" t="s">
        <v>23</v>
      </c>
      <c r="D39" s="72">
        <v>50</v>
      </c>
      <c r="E39" s="39" t="s">
        <v>24</v>
      </c>
      <c r="F39" s="158">
        <f t="shared" si="2"/>
        <v>0</v>
      </c>
    </row>
    <row r="40" spans="1:6" x14ac:dyDescent="0.2">
      <c r="A40" s="156"/>
      <c r="B40" s="72">
        <v>0</v>
      </c>
      <c r="C40" s="39" t="s">
        <v>23</v>
      </c>
      <c r="D40" s="72">
        <v>20</v>
      </c>
      <c r="E40" s="39" t="s">
        <v>24</v>
      </c>
      <c r="F40" s="158">
        <f t="shared" si="2"/>
        <v>0</v>
      </c>
    </row>
    <row r="41" spans="1:6" x14ac:dyDescent="0.2">
      <c r="A41" s="156"/>
      <c r="B41" s="72">
        <v>0</v>
      </c>
      <c r="C41" s="39" t="s">
        <v>23</v>
      </c>
      <c r="D41" s="72">
        <v>10</v>
      </c>
      <c r="E41" s="39" t="s">
        <v>24</v>
      </c>
      <c r="F41" s="158">
        <f t="shared" si="2"/>
        <v>0</v>
      </c>
    </row>
    <row r="42" spans="1:6" x14ac:dyDescent="0.2">
      <c r="A42" s="156"/>
      <c r="F42" s="157"/>
    </row>
    <row r="43" spans="1:6" x14ac:dyDescent="0.2">
      <c r="A43" s="156" t="s">
        <v>26</v>
      </c>
      <c r="B43" s="39" t="s">
        <v>22</v>
      </c>
      <c r="C43" s="39" t="s">
        <v>23</v>
      </c>
      <c r="D43" s="39" t="s">
        <v>27</v>
      </c>
      <c r="F43" s="157" t="s">
        <v>25</v>
      </c>
    </row>
    <row r="44" spans="1:6" x14ac:dyDescent="0.2">
      <c r="A44" s="156"/>
      <c r="F44" s="157"/>
    </row>
    <row r="45" spans="1:6" x14ac:dyDescent="0.2">
      <c r="A45" s="156"/>
      <c r="B45" s="72">
        <v>0</v>
      </c>
      <c r="C45" s="39" t="s">
        <v>23</v>
      </c>
      <c r="D45" s="72">
        <v>5</v>
      </c>
      <c r="E45" s="39" t="s">
        <v>24</v>
      </c>
      <c r="F45" s="158">
        <f t="shared" ref="F45:F51" si="3">PRODUCT(B45,D45)</f>
        <v>0</v>
      </c>
    </row>
    <row r="46" spans="1:6" x14ac:dyDescent="0.2">
      <c r="A46" s="156"/>
      <c r="B46" s="72">
        <v>0</v>
      </c>
      <c r="C46" s="39" t="s">
        <v>23</v>
      </c>
      <c r="D46" s="72">
        <v>2</v>
      </c>
      <c r="E46" s="39" t="s">
        <v>24</v>
      </c>
      <c r="F46" s="158">
        <f t="shared" si="3"/>
        <v>0</v>
      </c>
    </row>
    <row r="47" spans="1:6" x14ac:dyDescent="0.2">
      <c r="A47" s="156"/>
      <c r="B47" s="72">
        <v>0</v>
      </c>
      <c r="C47" s="39" t="s">
        <v>23</v>
      </c>
      <c r="D47" s="72">
        <v>1</v>
      </c>
      <c r="E47" s="39" t="s">
        <v>24</v>
      </c>
      <c r="F47" s="158">
        <f t="shared" si="3"/>
        <v>0</v>
      </c>
    </row>
    <row r="48" spans="1:6" x14ac:dyDescent="0.2">
      <c r="A48" s="156"/>
      <c r="B48" s="72">
        <v>0</v>
      </c>
      <c r="C48" s="39" t="s">
        <v>23</v>
      </c>
      <c r="D48" s="72">
        <v>0.5</v>
      </c>
      <c r="E48" s="39" t="s">
        <v>24</v>
      </c>
      <c r="F48" s="158">
        <f t="shared" si="3"/>
        <v>0</v>
      </c>
    </row>
    <row r="49" spans="1:6" x14ac:dyDescent="0.2">
      <c r="A49" s="156"/>
      <c r="B49" s="72">
        <v>0</v>
      </c>
      <c r="C49" s="39" t="s">
        <v>23</v>
      </c>
      <c r="D49" s="72">
        <v>0.2</v>
      </c>
      <c r="E49" s="39" t="s">
        <v>24</v>
      </c>
      <c r="F49" s="158">
        <f t="shared" si="3"/>
        <v>0</v>
      </c>
    </row>
    <row r="50" spans="1:6" x14ac:dyDescent="0.2">
      <c r="A50" s="156"/>
      <c r="B50" s="72">
        <v>0</v>
      </c>
      <c r="C50" s="39" t="s">
        <v>23</v>
      </c>
      <c r="D50" s="72">
        <v>0.1</v>
      </c>
      <c r="E50" s="39" t="s">
        <v>24</v>
      </c>
      <c r="F50" s="158">
        <f t="shared" si="3"/>
        <v>0</v>
      </c>
    </row>
    <row r="51" spans="1:6" x14ac:dyDescent="0.2">
      <c r="A51" s="156"/>
      <c r="B51" s="72">
        <v>0</v>
      </c>
      <c r="C51" s="39" t="s">
        <v>23</v>
      </c>
      <c r="D51" s="72">
        <v>0.05</v>
      </c>
      <c r="E51" s="39" t="s">
        <v>24</v>
      </c>
      <c r="F51" s="158">
        <f t="shared" si="3"/>
        <v>0</v>
      </c>
    </row>
    <row r="52" spans="1:6" x14ac:dyDescent="0.2">
      <c r="A52" s="156"/>
      <c r="F52" s="157"/>
    </row>
    <row r="53" spans="1:6" x14ac:dyDescent="0.2">
      <c r="A53" s="156"/>
      <c r="B53" s="39" t="s">
        <v>29</v>
      </c>
      <c r="F53" s="158">
        <f>SUM(F37:F52)</f>
        <v>0</v>
      </c>
    </row>
    <row r="54" spans="1:6" x14ac:dyDescent="0.2">
      <c r="A54" s="156"/>
      <c r="F54" s="157"/>
    </row>
    <row r="55" spans="1:6" x14ac:dyDescent="0.2">
      <c r="A55" s="156"/>
      <c r="B55" s="39" t="s">
        <v>38</v>
      </c>
      <c r="D55" s="45">
        <f>F27</f>
        <v>0</v>
      </c>
      <c r="F55" s="157"/>
    </row>
    <row r="56" spans="1:6" x14ac:dyDescent="0.2">
      <c r="A56" s="156"/>
      <c r="B56" s="161" t="s">
        <v>55</v>
      </c>
      <c r="C56" s="161"/>
      <c r="D56" s="161"/>
      <c r="E56" s="161"/>
      <c r="F56" s="162">
        <f>F53-D55</f>
        <v>0</v>
      </c>
    </row>
    <row r="57" spans="1:6" x14ac:dyDescent="0.2">
      <c r="A57" s="156"/>
      <c r="F57" s="163"/>
    </row>
    <row r="58" spans="1:6" ht="13.5" thickBot="1" x14ac:dyDescent="0.25">
      <c r="A58" s="164"/>
      <c r="B58" s="165"/>
      <c r="C58" s="165"/>
      <c r="D58" s="165"/>
      <c r="E58" s="165"/>
      <c r="F58" s="166"/>
    </row>
  </sheetData>
  <mergeCells count="4">
    <mergeCell ref="D33:E33"/>
    <mergeCell ref="E3:F3"/>
    <mergeCell ref="E31:F31"/>
    <mergeCell ref="D5:E5"/>
  </mergeCells>
  <phoneticPr fontId="10"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2529" r:id="rId4" name="Button 1">
              <controlPr defaultSize="0" print="0" autoFill="0" autoPict="0" macro="[0]!Caisse_Bouton1_Cliquer">
                <anchor moveWithCells="1" sizeWithCells="1">
                  <from>
                    <xdr:col>7</xdr:col>
                    <xdr:colOff>38100</xdr:colOff>
                    <xdr:row>1</xdr:row>
                    <xdr:rowOff>66675</xdr:rowOff>
                  </from>
                  <to>
                    <xdr:col>8</xdr:col>
                    <xdr:colOff>371475</xdr:colOff>
                    <xdr:row>1</xdr:row>
                    <xdr:rowOff>285750</xdr:rowOff>
                  </to>
                </anchor>
              </controlPr>
            </control>
          </mc:Choice>
        </mc:AlternateContent>
      </controls>
    </mc:Choice>
  </mc:AlternateContent>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4">
    <tabColor rgb="FF00B0F0"/>
  </sheetPr>
  <dimension ref="A2:F63"/>
  <sheetViews>
    <sheetView workbookViewId="0">
      <selection activeCell="C5" sqref="C5"/>
    </sheetView>
  </sheetViews>
  <sheetFormatPr baseColWidth="10" defaultColWidth="11.42578125" defaultRowHeight="12.75" x14ac:dyDescent="0.2"/>
  <cols>
    <col min="1" max="1" width="5.5703125" style="51" customWidth="1"/>
    <col min="2" max="2" width="22.28515625" style="53" customWidth="1"/>
    <col min="3" max="3" width="17.5703125" style="51" customWidth="1"/>
    <col min="4" max="4" width="6" style="51" customWidth="1"/>
    <col min="5" max="5" width="23.140625" style="53" customWidth="1"/>
    <col min="6" max="6" width="10.42578125" style="51" customWidth="1"/>
    <col min="7" max="16384" width="11.42578125" style="53"/>
  </cols>
  <sheetData>
    <row r="2" spans="1:6" ht="31.5" customHeight="1" x14ac:dyDescent="0.25">
      <c r="A2" s="62"/>
      <c r="B2" s="57" t="s">
        <v>13</v>
      </c>
      <c r="C2" s="59" t="s">
        <v>15</v>
      </c>
      <c r="D2" s="59"/>
      <c r="E2" s="57" t="s">
        <v>14</v>
      </c>
      <c r="F2" s="59" t="s">
        <v>15</v>
      </c>
    </row>
    <row r="3" spans="1:6" ht="13.5" x14ac:dyDescent="0.25">
      <c r="A3" s="62" t="s">
        <v>68</v>
      </c>
      <c r="B3" s="56" t="s">
        <v>69</v>
      </c>
      <c r="C3" s="60"/>
      <c r="D3" s="62" t="s">
        <v>68</v>
      </c>
      <c r="E3" s="56" t="s">
        <v>69</v>
      </c>
      <c r="F3" s="60"/>
    </row>
    <row r="4" spans="1:6" ht="13.5" x14ac:dyDescent="0.25">
      <c r="A4" s="62">
        <f>'Bilan ouverture'!A4</f>
        <v>1000</v>
      </c>
      <c r="B4" s="56" t="str">
        <f>'Bilan ouverture'!B4</f>
        <v>Caisse</v>
      </c>
      <c r="C4" s="60">
        <f>'Bilan ouverture'!C4+F14</f>
        <v>0</v>
      </c>
      <c r="D4" s="62">
        <f>'Bilan ouverture'!D4</f>
        <v>2010</v>
      </c>
      <c r="E4" s="56" t="str">
        <f>'Bilan ouverture'!E4</f>
        <v>Charges à payer et avance à rembourser</v>
      </c>
      <c r="F4" s="60">
        <f>'Bilan ouverture'!F4-F21</f>
        <v>0</v>
      </c>
    </row>
    <row r="5" spans="1:6" ht="13.5" x14ac:dyDescent="0.25">
      <c r="A5" s="62">
        <f>'Bilan ouverture'!A5</f>
        <v>1020</v>
      </c>
      <c r="B5" s="56" t="str">
        <f>'Bilan ouverture'!B5</f>
        <v>Banque</v>
      </c>
      <c r="C5" s="60"/>
      <c r="D5" s="62">
        <f>'Bilan ouverture'!D5</f>
        <v>2400</v>
      </c>
      <c r="E5" s="56" t="str">
        <f>'Bilan ouverture'!E5</f>
        <v>Dettes bancaires ou autres emprunts</v>
      </c>
      <c r="F5" s="60">
        <f>'Bilan ouverture'!F5-F22</f>
        <v>0</v>
      </c>
    </row>
    <row r="6" spans="1:6" ht="13.5" x14ac:dyDescent="0.25">
      <c r="A6" s="62">
        <f>'Bilan ouverture'!A6</f>
        <v>1300</v>
      </c>
      <c r="B6" s="56" t="str">
        <f>'Bilan ouverture'!B6</f>
        <v xml:space="preserve">Actifs transitoires </v>
      </c>
      <c r="C6" s="60">
        <f>'Bilan ouverture'!C6+F16</f>
        <v>0</v>
      </c>
      <c r="D6" s="62">
        <f>'Bilan ouverture'!D6</f>
        <v>2300</v>
      </c>
      <c r="E6" s="56" t="str">
        <f>'Bilan ouverture'!E6</f>
        <v>Passifs transitoires</v>
      </c>
      <c r="F6" s="60">
        <f>'Bilan ouverture'!F6-F23</f>
        <v>0</v>
      </c>
    </row>
    <row r="7" spans="1:6" ht="13.5" x14ac:dyDescent="0.25">
      <c r="A7" s="62">
        <f>'Bilan ouverture'!A7</f>
        <v>1110</v>
      </c>
      <c r="B7" s="56" t="str">
        <f>'Bilan ouverture'!B7</f>
        <v>Cotisation en attente des membres</v>
      </c>
      <c r="C7" s="60">
        <f>'Bilan ouverture'!C7+F17</f>
        <v>0</v>
      </c>
      <c r="D7" s="62">
        <f>'Bilan ouverture'!D7</f>
        <v>2950</v>
      </c>
      <c r="E7" s="56" t="str">
        <f>'Bilan ouverture'!E7</f>
        <v>Résultat reporté</v>
      </c>
      <c r="F7" s="60">
        <f>'Bilan ouverture'!F7-F24</f>
        <v>0</v>
      </c>
    </row>
    <row r="8" spans="1:6" ht="13.5" x14ac:dyDescent="0.25">
      <c r="A8" s="62">
        <f>'Bilan ouverture'!A8</f>
        <v>1208</v>
      </c>
      <c r="B8" s="56" t="str">
        <f>'Bilan ouverture'!B8</f>
        <v>Diverses cautions versées</v>
      </c>
      <c r="C8" s="60">
        <f>'Bilan ouverture'!C8+F18</f>
        <v>0</v>
      </c>
      <c r="D8" s="62">
        <f>'Bilan ouverture'!D8</f>
        <v>9000</v>
      </c>
      <c r="E8" s="58" t="str">
        <f>'Bilan ouverture'!E8</f>
        <v>Résultat</v>
      </c>
      <c r="F8" s="60">
        <v>0</v>
      </c>
    </row>
    <row r="9" spans="1:6" ht="13.5" x14ac:dyDescent="0.25">
      <c r="A9" s="62">
        <f>'Bilan ouverture'!A9</f>
        <v>1500</v>
      </c>
      <c r="B9" s="56" t="str">
        <f>'Bilan ouverture'!B9</f>
        <v>Actifs ex meuble</v>
      </c>
      <c r="C9" s="60">
        <f>'Bilan ouverture'!C9+F19</f>
        <v>0</v>
      </c>
      <c r="D9" s="62">
        <f>'Bilan ouverture'!D9</f>
        <v>2800</v>
      </c>
      <c r="E9" s="56" t="str">
        <f>'Bilan ouverture'!E9</f>
        <v>Capital ou fond déposé en banque</v>
      </c>
      <c r="F9" s="60">
        <f>'Bilan ouverture'!F9-F26</f>
        <v>0</v>
      </c>
    </row>
    <row r="10" spans="1:6" ht="13.5" x14ac:dyDescent="0.25">
      <c r="A10" s="62">
        <f>'Bilan ouverture'!A10</f>
        <v>1530</v>
      </c>
      <c r="B10" s="56" t="str">
        <f>'Bilan ouverture'!B10</f>
        <v>Actifs ex véhicule</v>
      </c>
      <c r="C10" s="60">
        <f>'Bilan ouverture'!C10+F20</f>
        <v>0</v>
      </c>
      <c r="D10" s="62"/>
      <c r="E10" s="56"/>
      <c r="F10" s="60"/>
    </row>
    <row r="11" spans="1:6" ht="13.5" x14ac:dyDescent="0.25">
      <c r="A11" s="62"/>
      <c r="B11" s="57" t="s">
        <v>16</v>
      </c>
      <c r="C11" s="61">
        <f>SUM(C4:C10)</f>
        <v>0</v>
      </c>
      <c r="D11" s="62"/>
      <c r="E11" s="57" t="s">
        <v>16</v>
      </c>
      <c r="F11" s="61"/>
    </row>
    <row r="14" spans="1:6" x14ac:dyDescent="0.2">
      <c r="A14" s="111">
        <f>'Bilan ouverture'!A18</f>
        <v>1000</v>
      </c>
      <c r="B14" s="112" t="str">
        <f>'Bilan ouverture'!B18</f>
        <v>Caisse</v>
      </c>
      <c r="C14" s="113">
        <f>SUMIF(Journal!$C$4:$C$215,A14,Journal!$E$4:$E$215)</f>
        <v>0</v>
      </c>
      <c r="D14" s="114"/>
      <c r="E14" s="115">
        <f>SUMIF(Journal!$D$4:$D$215,A14,Journal!$E$4:$E$215)</f>
        <v>0</v>
      </c>
      <c r="F14" s="113">
        <f>C14-E14</f>
        <v>0</v>
      </c>
    </row>
    <row r="15" spans="1:6" x14ac:dyDescent="0.2">
      <c r="A15" s="111">
        <f>'Bilan ouverture'!A19</f>
        <v>1020</v>
      </c>
      <c r="B15" s="112" t="str">
        <f>'Bilan ouverture'!B19</f>
        <v>Banque</v>
      </c>
      <c r="C15" s="113">
        <f>SUMIF(Journal!$C$4:$C$215,A15,Journal!$E$4:$E$215)</f>
        <v>0</v>
      </c>
      <c r="D15" s="114"/>
      <c r="E15" s="115">
        <f>SUMIF(Journal!$D$4:$D$215,A15,Journal!$E$4:$E$215)</f>
        <v>0</v>
      </c>
      <c r="F15" s="113">
        <f t="shared" ref="F15:F20" si="0">C15-E15</f>
        <v>0</v>
      </c>
    </row>
    <row r="16" spans="1:6" x14ac:dyDescent="0.2">
      <c r="A16" s="111">
        <f>'Bilan ouverture'!A20</f>
        <v>1300</v>
      </c>
      <c r="B16" s="112" t="str">
        <f>'Bilan ouverture'!B20</f>
        <v xml:space="preserve">Actifs transitoires </v>
      </c>
      <c r="C16" s="113">
        <f>SUMIF(Journal!$C$4:$C$215,A16,Journal!$E$4:$E$215)</f>
        <v>0</v>
      </c>
      <c r="D16" s="114"/>
      <c r="E16" s="115">
        <f>SUMIF(Journal!$D$4:$D$215,A16,Journal!$E$4:$E$215)</f>
        <v>0</v>
      </c>
      <c r="F16" s="113">
        <f t="shared" ref="F16" si="1">C16-E16</f>
        <v>0</v>
      </c>
    </row>
    <row r="17" spans="1:6" x14ac:dyDescent="0.2">
      <c r="A17" s="111">
        <f>'Bilan ouverture'!A21</f>
        <v>1110</v>
      </c>
      <c r="B17" s="112" t="str">
        <f>'Bilan ouverture'!B21</f>
        <v>Cotisation en attente des membres</v>
      </c>
      <c r="C17" s="113">
        <f>SUMIF(Journal!$C$4:$C$215,A17,Journal!$E$4:$E$215)</f>
        <v>0</v>
      </c>
      <c r="D17" s="114"/>
      <c r="E17" s="115">
        <f>SUMIF(Journal!$D$4:$D$215,A17,Journal!$E$4:$E$215)</f>
        <v>0</v>
      </c>
      <c r="F17" s="113">
        <f t="shared" si="0"/>
        <v>0</v>
      </c>
    </row>
    <row r="18" spans="1:6" x14ac:dyDescent="0.2">
      <c r="A18" s="111">
        <f>'Bilan ouverture'!A22</f>
        <v>1208</v>
      </c>
      <c r="B18" s="112" t="str">
        <f>'Bilan ouverture'!B22</f>
        <v>Diverses cautions versées</v>
      </c>
      <c r="C18" s="113">
        <f>SUMIF(Journal!$C$4:$C$215,A18,Journal!$E$4:$E$215)</f>
        <v>0</v>
      </c>
      <c r="D18" s="114"/>
      <c r="E18" s="115">
        <f>SUMIF(Journal!$D$4:$D$215,A18,Journal!$E$4:$E$215)</f>
        <v>0</v>
      </c>
      <c r="F18" s="113">
        <f t="shared" si="0"/>
        <v>0</v>
      </c>
    </row>
    <row r="19" spans="1:6" x14ac:dyDescent="0.2">
      <c r="A19" s="111">
        <f>'Bilan ouverture'!A23</f>
        <v>1500</v>
      </c>
      <c r="B19" s="112" t="str">
        <f>'Bilan ouverture'!B23</f>
        <v>Actifs ex meuble</v>
      </c>
      <c r="C19" s="113">
        <f>SUMIF(Journal!$C$4:$C$215,A19,Journal!$E$4:$E$215)</f>
        <v>0</v>
      </c>
      <c r="D19" s="114"/>
      <c r="E19" s="115">
        <f>SUMIF(Journal!$D$4:$D$215,A19,Journal!$E$4:$E$215)</f>
        <v>0</v>
      </c>
      <c r="F19" s="113">
        <f t="shared" si="0"/>
        <v>0</v>
      </c>
    </row>
    <row r="20" spans="1:6" x14ac:dyDescent="0.2">
      <c r="A20" s="111">
        <f>'Bilan ouverture'!A24</f>
        <v>1530</v>
      </c>
      <c r="B20" s="112" t="str">
        <f>'Bilan ouverture'!B24</f>
        <v>Actifs ex véhicule</v>
      </c>
      <c r="C20" s="113">
        <f>SUMIF(Journal!$C$4:$C$215,A20,Journal!$E$4:$E$215)</f>
        <v>0</v>
      </c>
      <c r="D20" s="114"/>
      <c r="E20" s="115">
        <f>SUMIF(Journal!$D$4:$D$215,A20,Journal!$E$4:$E$215)</f>
        <v>0</v>
      </c>
      <c r="F20" s="113">
        <f t="shared" si="0"/>
        <v>0</v>
      </c>
    </row>
    <row r="21" spans="1:6" x14ac:dyDescent="0.2">
      <c r="A21" s="109">
        <f>'Bilan ouverture'!A25</f>
        <v>2010</v>
      </c>
      <c r="B21" s="110" t="str">
        <f>'Bilan ouverture'!B25</f>
        <v>Charges à payer et avance à rembourser</v>
      </c>
      <c r="C21" s="116">
        <f>SUMIF(Journal!$C$4:$C$215,A21,Journal!$E$4:$E$215)</f>
        <v>0</v>
      </c>
      <c r="D21" s="117"/>
      <c r="E21" s="118">
        <f>SUMIF(Journal!$D$4:$D$215,A21,Journal!$E$4:$E$215)</f>
        <v>0</v>
      </c>
      <c r="F21" s="116">
        <f t="shared" ref="F21:F39" si="2">C21-E21</f>
        <v>0</v>
      </c>
    </row>
    <row r="22" spans="1:6" x14ac:dyDescent="0.2">
      <c r="A22" s="109">
        <f>'Bilan ouverture'!A26</f>
        <v>2400</v>
      </c>
      <c r="B22" s="110" t="str">
        <f>'Bilan ouverture'!B26</f>
        <v>Dettes bancaires ou autres emprunts</v>
      </c>
      <c r="C22" s="116">
        <f>SUMIF(Journal!$C$4:$C$215,A22,Journal!$E$4:$E$215)</f>
        <v>0</v>
      </c>
      <c r="D22" s="117"/>
      <c r="E22" s="118">
        <f>SUMIF(Journal!$D$4:$D$215,A22,Journal!$E$4:$E$215)</f>
        <v>0</v>
      </c>
      <c r="F22" s="116">
        <f t="shared" ref="F22:F26" si="3">C22-E22</f>
        <v>0</v>
      </c>
    </row>
    <row r="23" spans="1:6" x14ac:dyDescent="0.2">
      <c r="A23" s="109">
        <f>'Bilan ouverture'!A27</f>
        <v>2300</v>
      </c>
      <c r="B23" s="110" t="str">
        <f>'Bilan ouverture'!B27</f>
        <v>Passifs transitoires</v>
      </c>
      <c r="C23" s="116">
        <f>SUMIF(Journal!$C$4:$C$215,A23,Journal!$E$4:$E$215)</f>
        <v>0</v>
      </c>
      <c r="D23" s="117"/>
      <c r="E23" s="118">
        <f>SUMIF(Journal!$D$4:$D$215,A23,Journal!$E$4:$E$215)</f>
        <v>0</v>
      </c>
      <c r="F23" s="116">
        <f t="shared" ref="F23:F24" si="4">C23-E23</f>
        <v>0</v>
      </c>
    </row>
    <row r="24" spans="1:6" x14ac:dyDescent="0.2">
      <c r="A24" s="109">
        <f>'Bilan ouverture'!A28</f>
        <v>2950</v>
      </c>
      <c r="B24" s="110" t="str">
        <f>'Bilan ouverture'!B28</f>
        <v>Résultat reporté</v>
      </c>
      <c r="C24" s="116">
        <f>SUMIF(Journal!$C$4:$C$215,A24,Journal!$E$4:$E$215)</f>
        <v>0</v>
      </c>
      <c r="D24" s="117"/>
      <c r="E24" s="118">
        <f>SUMIF(Journal!$D$4:$D$215,A24,Journal!$E$4:$E$215)</f>
        <v>0</v>
      </c>
      <c r="F24" s="116">
        <f t="shared" si="4"/>
        <v>0</v>
      </c>
    </row>
    <row r="25" spans="1:6" x14ac:dyDescent="0.2">
      <c r="A25" s="109">
        <f>'Bilan ouverture'!A29</f>
        <v>9000</v>
      </c>
      <c r="B25" s="110" t="str">
        <f>'Bilan ouverture'!B29</f>
        <v>Résultat</v>
      </c>
      <c r="C25" s="116">
        <f>SUMIF(Journal!$C$4:$C$215,A25,Journal!$E$4:$E$215)</f>
        <v>0</v>
      </c>
      <c r="D25" s="117"/>
      <c r="E25" s="118">
        <f>SUMIF(Journal!$D$4:$D$215,A25,Journal!$E$4:$E$215)</f>
        <v>0</v>
      </c>
      <c r="F25" s="116">
        <f t="shared" si="3"/>
        <v>0</v>
      </c>
    </row>
    <row r="26" spans="1:6" x14ac:dyDescent="0.2">
      <c r="A26" s="109">
        <f>'Bilan ouverture'!A30</f>
        <v>2800</v>
      </c>
      <c r="B26" s="110" t="str">
        <f>'Bilan ouverture'!B30</f>
        <v>Capital ou fond déposé en banque</v>
      </c>
      <c r="C26" s="116">
        <f>SUMIF(Journal!$C$4:$C$215,A26,Journal!$E$4:$E$215)</f>
        <v>0</v>
      </c>
      <c r="D26" s="117"/>
      <c r="E26" s="118">
        <f>SUMIF(Journal!$D$4:$D$215,A26,Journal!$E$4:$E$215)</f>
        <v>0</v>
      </c>
      <c r="F26" s="116">
        <f t="shared" si="3"/>
        <v>0</v>
      </c>
    </row>
    <row r="27" spans="1:6" x14ac:dyDescent="0.2">
      <c r="A27" s="107">
        <f>'Bilan ouverture'!A31</f>
        <v>454000</v>
      </c>
      <c r="B27" s="108" t="str">
        <f>'Bilan ouverture'!B31</f>
        <v>Frais bénévoles PP ONSS</v>
      </c>
      <c r="C27" s="119">
        <f>SUMIF(Journal!$C$4:$C$215,A27,Journal!$E$4:$E$215)</f>
        <v>0</v>
      </c>
      <c r="D27" s="120"/>
      <c r="E27" s="121">
        <f>SUMIF(Journal!$D$4:$D$215,A27,Journal!$E$4:$E$215)</f>
        <v>0</v>
      </c>
      <c r="F27" s="119">
        <f t="shared" si="2"/>
        <v>0</v>
      </c>
    </row>
    <row r="28" spans="1:6" x14ac:dyDescent="0.2">
      <c r="A28" s="107">
        <f>'Bilan ouverture'!A32</f>
        <v>611000</v>
      </c>
      <c r="B28" s="108" t="str">
        <f>'Bilan ouverture'!B32</f>
        <v xml:space="preserve">Loyer </v>
      </c>
      <c r="C28" s="119">
        <f>SUMIF(Journal!$C$4:$C$215,A28,Journal!$E$4:$E$215)</f>
        <v>7167.5</v>
      </c>
      <c r="D28" s="120"/>
      <c r="E28" s="121">
        <f>SUMIF(Journal!$D$4:$D$215,A28,Journal!$E$4:$E$215)</f>
        <v>0</v>
      </c>
      <c r="F28" s="119">
        <f t="shared" ref="F28:F38" si="5">C28-E28</f>
        <v>7167.5</v>
      </c>
    </row>
    <row r="29" spans="1:6" x14ac:dyDescent="0.2">
      <c r="A29" s="107">
        <f>'Bilan ouverture'!A33</f>
        <v>611100</v>
      </c>
      <c r="B29" s="108" t="str">
        <f>'Bilan ouverture'!B33</f>
        <v>Electricité, gaz</v>
      </c>
      <c r="C29" s="119">
        <f>SUMIF(Journal!$C$4:$C$215,A29,Journal!$E$4:$E$215)</f>
        <v>0</v>
      </c>
      <c r="D29" s="120"/>
      <c r="E29" s="121">
        <f>SUMIF(Journal!$D$4:$D$215,A29,Journal!$E$4:$E$215)</f>
        <v>0</v>
      </c>
      <c r="F29" s="119">
        <f t="shared" si="5"/>
        <v>0</v>
      </c>
    </row>
    <row r="30" spans="1:6" x14ac:dyDescent="0.2">
      <c r="A30" s="107">
        <f>'Bilan ouverture'!A34</f>
        <v>611200</v>
      </c>
      <c r="B30" s="108" t="str">
        <f>'Bilan ouverture'!B34</f>
        <v>Charges Divers</v>
      </c>
      <c r="C30" s="119">
        <f>SUMIF(Journal!$C$4:$C$215,A30,Journal!$E$4:$E$215)</f>
        <v>59688.680000000008</v>
      </c>
      <c r="D30" s="120"/>
      <c r="E30" s="121">
        <f>SUMIF(Journal!$D$4:$D$215,A30,Journal!$E$4:$E$215)</f>
        <v>0</v>
      </c>
      <c r="F30" s="119">
        <f t="shared" si="5"/>
        <v>59688.680000000008</v>
      </c>
    </row>
    <row r="31" spans="1:6" x14ac:dyDescent="0.2">
      <c r="A31" s="107">
        <f>'Bilan ouverture'!A35</f>
        <v>611500</v>
      </c>
      <c r="B31" s="108" t="str">
        <f>'Bilan ouverture'!B35</f>
        <v>Frais d'expéditions et Pub</v>
      </c>
      <c r="C31" s="119">
        <f>SUMIF(Journal!$C$4:$C$215,A31,Journal!$E$4:$E$215)</f>
        <v>0</v>
      </c>
      <c r="D31" s="120"/>
      <c r="E31" s="121">
        <f>SUMIF(Journal!$D$4:$D$215,A31,Journal!$E$4:$E$215)</f>
        <v>0</v>
      </c>
      <c r="F31" s="119">
        <f t="shared" si="5"/>
        <v>0</v>
      </c>
    </row>
    <row r="32" spans="1:6" x14ac:dyDescent="0.2">
      <c r="A32" s="107">
        <f>'Bilan ouverture'!A36</f>
        <v>614000</v>
      </c>
      <c r="B32" s="108" t="str">
        <f>'Bilan ouverture'!B36</f>
        <v>Divers assurances</v>
      </c>
      <c r="C32" s="119">
        <f>SUMIF(Journal!$C$4:$C$215,A32,Journal!$E$4:$E$215)</f>
        <v>0</v>
      </c>
      <c r="D32" s="120"/>
      <c r="E32" s="121">
        <f>SUMIF(Journal!$D$4:$D$215,A32,Journal!$E$4:$E$215)</f>
        <v>0</v>
      </c>
      <c r="F32" s="119">
        <f t="shared" si="5"/>
        <v>0</v>
      </c>
    </row>
    <row r="33" spans="1:6" x14ac:dyDescent="0.2">
      <c r="A33" s="107">
        <f>'Bilan ouverture'!A37</f>
        <v>621000</v>
      </c>
      <c r="B33" s="108" t="str">
        <f>'Bilan ouverture'!B37</f>
        <v>Salaire</v>
      </c>
      <c r="C33" s="119">
        <f>SUMIF(Journal!$C$4:$C$215,A33,Journal!$E$4:$E$215)</f>
        <v>8000.3</v>
      </c>
      <c r="D33" s="120"/>
      <c r="E33" s="121">
        <f>SUMIF(Journal!$D$4:$D$215,A33,Journal!$E$4:$E$215)</f>
        <v>0</v>
      </c>
      <c r="F33" s="119">
        <f t="shared" si="5"/>
        <v>8000.3</v>
      </c>
    </row>
    <row r="34" spans="1:6" x14ac:dyDescent="0.2">
      <c r="A34" s="107">
        <f>'Bilan ouverture'!A38</f>
        <v>613000</v>
      </c>
      <c r="B34" s="108" t="str">
        <f>'Bilan ouverture'!B38</f>
        <v>Divers frais administratifs</v>
      </c>
      <c r="C34" s="119">
        <f>SUMIF(Journal!$C$4:$C$215,A34,Journal!$E$4:$E$215)</f>
        <v>0</v>
      </c>
      <c r="D34" s="120"/>
      <c r="E34" s="121">
        <f>SUMIF(Journal!$D$4:$D$215,A34,Journal!$E$4:$E$215)</f>
        <v>0</v>
      </c>
      <c r="F34" s="119">
        <f t="shared" si="5"/>
        <v>0</v>
      </c>
    </row>
    <row r="35" spans="1:6" x14ac:dyDescent="0.2">
      <c r="A35" s="107">
        <f>'Bilan ouverture'!A39</f>
        <v>618000</v>
      </c>
      <c r="B35" s="108" t="str">
        <f>'Bilan ouverture'!B39</f>
        <v>Frais Bénévoles</v>
      </c>
      <c r="C35" s="119">
        <f>SUMIF(Journal!$C$4:$C$215,A35,Journal!$E$4:$E$215)</f>
        <v>0</v>
      </c>
      <c r="D35" s="120"/>
      <c r="E35" s="121">
        <f>SUMIF(Journal!$D$4:$D$215,A35,Journal!$E$4:$E$215)</f>
        <v>0</v>
      </c>
      <c r="F35" s="119">
        <f t="shared" si="5"/>
        <v>0</v>
      </c>
    </row>
    <row r="36" spans="1:6" x14ac:dyDescent="0.2">
      <c r="A36" s="107">
        <f>'Bilan ouverture'!A40</f>
        <v>670000</v>
      </c>
      <c r="B36" s="108" t="str">
        <f>'Bilan ouverture'!B40</f>
        <v>ACE / mali de caisse</v>
      </c>
      <c r="C36" s="119">
        <f>SUMIF(Journal!$C$4:$C$215,A36,Journal!$E$4:$E$215)</f>
        <v>0</v>
      </c>
      <c r="D36" s="120"/>
      <c r="E36" s="121">
        <f>SUMIF(Journal!$D$4:$D$215,A36,Journal!$E$4:$E$215)</f>
        <v>0</v>
      </c>
      <c r="F36" s="119">
        <f t="shared" si="5"/>
        <v>0</v>
      </c>
    </row>
    <row r="37" spans="1:6" x14ac:dyDescent="0.2">
      <c r="A37" s="107">
        <f>'Bilan ouverture'!A41</f>
        <v>630000</v>
      </c>
      <c r="B37" s="108" t="str">
        <f>'Bilan ouverture'!B41</f>
        <v>Amortissement actifs</v>
      </c>
      <c r="C37" s="119">
        <f>SUMIF(Journal!$C$4:$C$215,A37,Journal!$E$4:$E$215)</f>
        <v>0</v>
      </c>
      <c r="D37" s="120"/>
      <c r="E37" s="121">
        <f>SUMIF(Journal!$D$4:$D$215,A37,Journal!$E$4:$E$215)</f>
        <v>0</v>
      </c>
      <c r="F37" s="119">
        <f t="shared" si="5"/>
        <v>0</v>
      </c>
    </row>
    <row r="38" spans="1:6" x14ac:dyDescent="0.2">
      <c r="A38" s="107">
        <f>'Bilan ouverture'!A42</f>
        <v>657000</v>
      </c>
      <c r="B38" s="108" t="str">
        <f>'Bilan ouverture'!B42</f>
        <v>Frais et charges financiers</v>
      </c>
      <c r="C38" s="119">
        <f>SUMIF(Journal!$C$4:$C$215,A38,Journal!$E$4:$E$215)</f>
        <v>77.319999999999993</v>
      </c>
      <c r="D38" s="120"/>
      <c r="E38" s="121">
        <f>SUMIF(Journal!$D$4:$D$215,A38,Journal!$E$4:$E$215)</f>
        <v>0</v>
      </c>
      <c r="F38" s="119">
        <f t="shared" si="5"/>
        <v>77.319999999999993</v>
      </c>
    </row>
    <row r="39" spans="1:6" x14ac:dyDescent="0.2">
      <c r="A39" s="109">
        <f>'Bilan ouverture'!A44</f>
        <v>3201</v>
      </c>
      <c r="B39" s="110" t="str">
        <f>'Bilan ouverture'!B44</f>
        <v>Subventions obtenues projet 1</v>
      </c>
      <c r="C39" s="116">
        <f>SUMIF(Journal!$C$4:$C$215,A39,Journal!$E$4:$E$215)</f>
        <v>0</v>
      </c>
      <c r="D39" s="117"/>
      <c r="E39" s="118">
        <f>SUMIF(Journal!$D$4:$D$215,A39,Journal!$E$4:$E$215)</f>
        <v>0</v>
      </c>
      <c r="F39" s="116">
        <f t="shared" si="2"/>
        <v>0</v>
      </c>
    </row>
    <row r="40" spans="1:6" x14ac:dyDescent="0.2">
      <c r="A40" s="109">
        <f>'Bilan ouverture'!A45</f>
        <v>3202</v>
      </c>
      <c r="B40" s="110" t="str">
        <f>'Bilan ouverture'!B45</f>
        <v>Subventions obtenues projet 2</v>
      </c>
      <c r="C40" s="116">
        <f>SUMIF(Journal!$C$4:$C$215,A40,Journal!$E$4:$E$215)</f>
        <v>0</v>
      </c>
      <c r="D40" s="117"/>
      <c r="E40" s="118">
        <f>SUMIF(Journal!$D$4:$D$215,A40,Journal!$E$4:$E$215)</f>
        <v>0</v>
      </c>
      <c r="F40" s="116">
        <f t="shared" ref="F40:F44" si="6">C40-E40</f>
        <v>0</v>
      </c>
    </row>
    <row r="41" spans="1:6" x14ac:dyDescent="0.2">
      <c r="A41" s="109">
        <f>'Bilan ouverture'!A46</f>
        <v>3203</v>
      </c>
      <c r="B41" s="110" t="str">
        <f>'Bilan ouverture'!B46</f>
        <v>Subventions obtenues projet 3</v>
      </c>
      <c r="C41" s="116">
        <f>SUMIF(Journal!$C$4:$C$215,A41,Journal!$E$4:$E$215)</f>
        <v>0</v>
      </c>
      <c r="D41" s="117"/>
      <c r="E41" s="118">
        <f>SUMIF(Journal!$D$4:$D$215,A41,Journal!$E$4:$E$215)</f>
        <v>0</v>
      </c>
      <c r="F41" s="116">
        <f t="shared" si="6"/>
        <v>0</v>
      </c>
    </row>
    <row r="42" spans="1:6" x14ac:dyDescent="0.2">
      <c r="A42" s="109">
        <f>'Bilan ouverture'!A47</f>
        <v>3400</v>
      </c>
      <c r="B42" s="110" t="str">
        <f>'Bilan ouverture'!B47</f>
        <v>Subventions non affectées obtenues</v>
      </c>
      <c r="C42" s="116">
        <f>SUMIF(Journal!$C$4:$C$215,A42,Journal!$E$4:$E$215)</f>
        <v>0</v>
      </c>
      <c r="D42" s="117"/>
      <c r="E42" s="118">
        <f>SUMIF(Journal!$D$4:$D$215,A42,Journal!$E$4:$E$215)</f>
        <v>0</v>
      </c>
      <c r="F42" s="116">
        <f t="shared" si="6"/>
        <v>0</v>
      </c>
    </row>
    <row r="43" spans="1:6" x14ac:dyDescent="0.2">
      <c r="A43" s="109">
        <f>'Bilan ouverture'!A48</f>
        <v>3600</v>
      </c>
      <c r="B43" s="110" t="str">
        <f>'Bilan ouverture'!B48</f>
        <v>Cotisations payées par les membres</v>
      </c>
      <c r="C43" s="116">
        <f>SUMIF(Journal!$C$4:$C$215,A43,Journal!$E$4:$E$215)</f>
        <v>0</v>
      </c>
      <c r="D43" s="117"/>
      <c r="E43" s="118">
        <f>SUMIF(Journal!$D$4:$D$215,A43,Journal!$E$4:$E$215)</f>
        <v>0</v>
      </c>
      <c r="F43" s="116">
        <f t="shared" si="6"/>
        <v>0</v>
      </c>
    </row>
    <row r="44" spans="1:6" x14ac:dyDescent="0.2">
      <c r="A44" s="109">
        <f>'Bilan ouverture'!A49</f>
        <v>3630</v>
      </c>
      <c r="B44" s="110" t="str">
        <f>'Bilan ouverture'!B49</f>
        <v>Dons et legs obtenus / boni de caisse</v>
      </c>
      <c r="C44" s="116">
        <f>SUMIF(Journal!$C$4:$C$215,A44,Journal!$E$4:$E$215)</f>
        <v>0</v>
      </c>
      <c r="D44" s="117"/>
      <c r="E44" s="118">
        <f>SUMIF(Journal!$D$4:$D$215,A44,Journal!$E$4:$E$215)</f>
        <v>0</v>
      </c>
      <c r="F44" s="116">
        <f t="shared" si="6"/>
        <v>0</v>
      </c>
    </row>
    <row r="45" spans="1:6" x14ac:dyDescent="0.2">
      <c r="A45" s="109">
        <f>'Bilan ouverture'!A50</f>
        <v>700000</v>
      </c>
      <c r="B45" s="110" t="str">
        <f>'Bilan ouverture'!B50</f>
        <v>Paiement Parents</v>
      </c>
      <c r="C45" s="116">
        <f>SUMIF(Journal!$C$4:$C$215,A45,Journal!$E$4:$E$215)</f>
        <v>0</v>
      </c>
      <c r="D45" s="117"/>
      <c r="E45" s="118">
        <f>SUMIF(Journal!$D$4:$D$215,A45,Journal!$E$4:$E$215)</f>
        <v>74789.5</v>
      </c>
      <c r="F45" s="116"/>
    </row>
    <row r="46" spans="1:6" x14ac:dyDescent="0.2">
      <c r="A46" s="63"/>
      <c r="B46" s="54" t="s">
        <v>3</v>
      </c>
      <c r="C46" s="52">
        <f>SUM(C14:C45)</f>
        <v>74933.800000000017</v>
      </c>
      <c r="D46" s="52"/>
      <c r="E46" s="55">
        <f>SUM(E14:E45)</f>
        <v>74789.5</v>
      </c>
      <c r="F46" s="52"/>
    </row>
    <row r="50" spans="1:3" x14ac:dyDescent="0.2">
      <c r="A50" s="150">
        <f t="shared" ref="A50:C56" si="7">A4</f>
        <v>1000</v>
      </c>
      <c r="B50" s="171" t="str">
        <f t="shared" si="7"/>
        <v>Caisse</v>
      </c>
      <c r="C50" s="150">
        <f t="shared" si="7"/>
        <v>0</v>
      </c>
    </row>
    <row r="51" spans="1:3" x14ac:dyDescent="0.2">
      <c r="A51" s="150">
        <f t="shared" si="7"/>
        <v>1020</v>
      </c>
      <c r="B51" s="171" t="str">
        <f t="shared" si="7"/>
        <v>Banque</v>
      </c>
      <c r="C51" s="150">
        <f t="shared" si="7"/>
        <v>0</v>
      </c>
    </row>
    <row r="52" spans="1:3" x14ac:dyDescent="0.2">
      <c r="A52" s="150">
        <f t="shared" si="7"/>
        <v>1300</v>
      </c>
      <c r="B52" s="171" t="str">
        <f t="shared" si="7"/>
        <v xml:space="preserve">Actifs transitoires </v>
      </c>
      <c r="C52" s="150">
        <f t="shared" si="7"/>
        <v>0</v>
      </c>
    </row>
    <row r="53" spans="1:3" x14ac:dyDescent="0.2">
      <c r="A53" s="150">
        <f t="shared" si="7"/>
        <v>1110</v>
      </c>
      <c r="B53" s="171" t="str">
        <f t="shared" si="7"/>
        <v>Cotisation en attente des membres</v>
      </c>
      <c r="C53" s="150">
        <f t="shared" si="7"/>
        <v>0</v>
      </c>
    </row>
    <row r="54" spans="1:3" x14ac:dyDescent="0.2">
      <c r="A54" s="150">
        <f t="shared" si="7"/>
        <v>1208</v>
      </c>
      <c r="B54" s="171" t="str">
        <f t="shared" si="7"/>
        <v>Diverses cautions versées</v>
      </c>
      <c r="C54" s="150">
        <f t="shared" si="7"/>
        <v>0</v>
      </c>
    </row>
    <row r="55" spans="1:3" x14ac:dyDescent="0.2">
      <c r="A55" s="150">
        <f t="shared" si="7"/>
        <v>1500</v>
      </c>
      <c r="B55" s="171" t="str">
        <f t="shared" si="7"/>
        <v>Actifs ex meuble</v>
      </c>
      <c r="C55" s="150">
        <f t="shared" si="7"/>
        <v>0</v>
      </c>
    </row>
    <row r="56" spans="1:3" x14ac:dyDescent="0.2">
      <c r="A56" s="150">
        <f t="shared" si="7"/>
        <v>1530</v>
      </c>
      <c r="B56" s="171" t="str">
        <f t="shared" si="7"/>
        <v>Actifs ex véhicule</v>
      </c>
      <c r="C56" s="150">
        <f t="shared" si="7"/>
        <v>0</v>
      </c>
    </row>
    <row r="57" spans="1:3" x14ac:dyDescent="0.2">
      <c r="A57" s="150">
        <f>D4</f>
        <v>2010</v>
      </c>
      <c r="B57" s="171" t="str">
        <f t="shared" ref="B57:C57" si="8">E4</f>
        <v>Charges à payer et avance à rembourser</v>
      </c>
      <c r="C57" s="150">
        <f t="shared" si="8"/>
        <v>0</v>
      </c>
    </row>
    <row r="58" spans="1:3" x14ac:dyDescent="0.2">
      <c r="A58" s="150">
        <f t="shared" ref="A58:A62" si="9">D5</f>
        <v>2400</v>
      </c>
      <c r="B58" s="171" t="str">
        <f t="shared" ref="B58:B62" si="10">E5</f>
        <v>Dettes bancaires ou autres emprunts</v>
      </c>
      <c r="C58" s="150">
        <f t="shared" ref="C58:C62" si="11">F5</f>
        <v>0</v>
      </c>
    </row>
    <row r="59" spans="1:3" x14ac:dyDescent="0.2">
      <c r="A59" s="150">
        <f t="shared" si="9"/>
        <v>2300</v>
      </c>
      <c r="B59" s="171" t="str">
        <f t="shared" si="10"/>
        <v>Passifs transitoires</v>
      </c>
      <c r="C59" s="150">
        <f t="shared" si="11"/>
        <v>0</v>
      </c>
    </row>
    <row r="60" spans="1:3" x14ac:dyDescent="0.2">
      <c r="A60" s="150">
        <f t="shared" si="9"/>
        <v>2950</v>
      </c>
      <c r="B60" s="171" t="str">
        <f t="shared" si="10"/>
        <v>Résultat reporté</v>
      </c>
      <c r="C60" s="150">
        <f t="shared" si="11"/>
        <v>0</v>
      </c>
    </row>
    <row r="61" spans="1:3" x14ac:dyDescent="0.2">
      <c r="A61" s="150">
        <f t="shared" si="9"/>
        <v>9000</v>
      </c>
      <c r="B61" s="171" t="str">
        <f t="shared" si="10"/>
        <v>Résultat</v>
      </c>
      <c r="C61" s="150">
        <f t="shared" si="11"/>
        <v>0</v>
      </c>
    </row>
    <row r="62" spans="1:3" x14ac:dyDescent="0.2">
      <c r="A62" s="150">
        <f t="shared" si="9"/>
        <v>2800</v>
      </c>
      <c r="B62" s="171" t="str">
        <f t="shared" si="10"/>
        <v>Capital ou fond déposé en banque</v>
      </c>
      <c r="C62" s="150">
        <f t="shared" si="11"/>
        <v>0</v>
      </c>
    </row>
    <row r="63" spans="1:3" x14ac:dyDescent="0.2">
      <c r="A63" s="150">
        <f>D11</f>
        <v>0</v>
      </c>
      <c r="B63" s="171" t="str">
        <f>E11</f>
        <v>Total</v>
      </c>
      <c r="C63" s="150">
        <f>F11</f>
        <v>0</v>
      </c>
    </row>
  </sheetData>
  <sheetProtection password="C252" sheet="1" objects="1" scenarios="1"/>
  <phoneticPr fontId="10" type="noConversion"/>
  <pageMargins left="0.7" right="0.7" top="0.75" bottom="0.75" header="0.3" footer="0.3"/>
  <pageSetup paperSize="9" orientation="portrait" horizont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14338" r:id="rId4" name="Button 2">
              <controlPr defaultSize="0" print="0" autoFill="0" autoPict="0" macro="[0]!BilanClôture_Bouton2_Cliquer">
                <anchor moveWithCells="1" sizeWithCells="1">
                  <from>
                    <xdr:col>8</xdr:col>
                    <xdr:colOff>85725</xdr:colOff>
                    <xdr:row>1</xdr:row>
                    <xdr:rowOff>38100</xdr:rowOff>
                  </from>
                  <to>
                    <xdr:col>9</xdr:col>
                    <xdr:colOff>704850</xdr:colOff>
                    <xdr:row>1</xdr:row>
                    <xdr:rowOff>390525</xdr:rowOff>
                  </to>
                </anchor>
              </controlPr>
            </control>
          </mc:Choice>
        </mc:AlternateContent>
      </controls>
    </mc:Choice>
  </mc:AlternateContent>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tabColor theme="2" tint="-0.249977111117893"/>
  </sheetPr>
  <dimension ref="A1:H88"/>
  <sheetViews>
    <sheetView zoomScale="115" zoomScaleNormal="115" workbookViewId="0">
      <selection activeCell="F25" sqref="F25"/>
    </sheetView>
  </sheetViews>
  <sheetFormatPr baseColWidth="10" defaultRowHeight="15" x14ac:dyDescent="0.25"/>
  <cols>
    <col min="1" max="1" width="9.140625" customWidth="1"/>
    <col min="2" max="2" width="25" customWidth="1"/>
    <col min="3" max="3" width="22.42578125" customWidth="1"/>
    <col min="4" max="4" width="17.140625" customWidth="1"/>
    <col min="5" max="5" width="35" customWidth="1"/>
    <col min="6" max="6" width="16.42578125" customWidth="1"/>
  </cols>
  <sheetData>
    <row r="1" spans="1:6" ht="15" customHeight="1" x14ac:dyDescent="0.25">
      <c r="A1" s="10"/>
      <c r="B1" s="202" t="s">
        <v>9</v>
      </c>
      <c r="C1" s="203"/>
      <c r="D1" s="203"/>
      <c r="E1" s="203"/>
      <c r="F1" s="203"/>
    </row>
    <row r="2" spans="1:6" x14ac:dyDescent="0.25">
      <c r="A2" s="10"/>
      <c r="B2" s="204"/>
      <c r="C2" s="204"/>
      <c r="D2" s="204"/>
      <c r="E2" s="204"/>
      <c r="F2" s="204"/>
    </row>
    <row r="3" spans="1:6" x14ac:dyDescent="0.25">
      <c r="A3" s="21"/>
      <c r="B3" s="11" t="s">
        <v>18</v>
      </c>
      <c r="C3" s="33" t="s">
        <v>57</v>
      </c>
      <c r="D3" s="12"/>
      <c r="E3" s="11" t="s">
        <v>58</v>
      </c>
      <c r="F3" s="34" t="s">
        <v>57</v>
      </c>
    </row>
    <row r="4" spans="1:6" x14ac:dyDescent="0.25">
      <c r="A4" s="21"/>
      <c r="B4" s="14"/>
      <c r="C4" s="34"/>
      <c r="D4" s="13"/>
      <c r="E4" s="14"/>
      <c r="F4" s="34"/>
    </row>
    <row r="5" spans="1:6" x14ac:dyDescent="0.25">
      <c r="A5" s="30">
        <v>5200</v>
      </c>
      <c r="B5" s="31" t="s">
        <v>102</v>
      </c>
      <c r="C5" s="31"/>
      <c r="D5" s="13"/>
      <c r="E5" s="14"/>
      <c r="F5" s="34"/>
    </row>
    <row r="6" spans="1:6" x14ac:dyDescent="0.25">
      <c r="A6" s="30">
        <v>5270</v>
      </c>
      <c r="B6" s="31" t="s">
        <v>93</v>
      </c>
      <c r="C6" s="31">
        <v>0</v>
      </c>
      <c r="D6" s="13"/>
      <c r="E6" s="20"/>
      <c r="F6" s="34"/>
    </row>
    <row r="7" spans="1:6" x14ac:dyDescent="0.25">
      <c r="A7" s="30">
        <v>6000</v>
      </c>
      <c r="B7" s="31" t="s">
        <v>93</v>
      </c>
      <c r="C7" s="31">
        <v>0</v>
      </c>
      <c r="D7" s="13"/>
      <c r="E7" s="14"/>
      <c r="F7" s="34"/>
    </row>
    <row r="8" spans="1:6" x14ac:dyDescent="0.25">
      <c r="A8" s="30">
        <v>6100</v>
      </c>
      <c r="B8" s="31" t="s">
        <v>93</v>
      </c>
      <c r="C8" s="31"/>
      <c r="D8" s="13"/>
      <c r="E8" s="14"/>
      <c r="F8" s="34"/>
    </row>
    <row r="9" spans="1:6" x14ac:dyDescent="0.25">
      <c r="A9" s="30">
        <v>6280</v>
      </c>
      <c r="B9" s="31" t="s">
        <v>45</v>
      </c>
      <c r="C9" s="31">
        <v>0</v>
      </c>
      <c r="D9" s="13"/>
      <c r="E9" s="14"/>
      <c r="F9" s="34"/>
    </row>
    <row r="10" spans="1:6" x14ac:dyDescent="0.25">
      <c r="A10" s="30">
        <v>6300</v>
      </c>
      <c r="B10" s="31" t="s">
        <v>46</v>
      </c>
      <c r="C10" s="31">
        <v>0</v>
      </c>
      <c r="D10" s="13"/>
      <c r="E10" s="14"/>
      <c r="F10" s="34"/>
    </row>
    <row r="11" spans="1:6" x14ac:dyDescent="0.25">
      <c r="A11" s="30">
        <v>6400</v>
      </c>
      <c r="B11" s="31" t="s">
        <v>47</v>
      </c>
      <c r="C11" s="31"/>
      <c r="D11" s="30">
        <v>3201</v>
      </c>
      <c r="E11" s="31" t="s">
        <v>94</v>
      </c>
      <c r="F11" s="31">
        <v>0</v>
      </c>
    </row>
    <row r="12" spans="1:6" x14ac:dyDescent="0.25">
      <c r="A12" s="30">
        <v>6500</v>
      </c>
      <c r="B12" s="31" t="s">
        <v>48</v>
      </c>
      <c r="C12" s="31">
        <v>0</v>
      </c>
      <c r="D12" s="30">
        <v>3202</v>
      </c>
      <c r="E12" s="31" t="s">
        <v>94</v>
      </c>
      <c r="F12" s="31">
        <v>0</v>
      </c>
    </row>
    <row r="13" spans="1:6" x14ac:dyDescent="0.25">
      <c r="A13" s="30">
        <v>6640</v>
      </c>
      <c r="B13" s="31" t="s">
        <v>49</v>
      </c>
      <c r="C13" s="31"/>
      <c r="D13" s="30">
        <v>3203</v>
      </c>
      <c r="E13" s="31" t="s">
        <v>94</v>
      </c>
      <c r="F13" s="31"/>
    </row>
    <row r="14" spans="1:6" x14ac:dyDescent="0.25">
      <c r="A14" s="30">
        <v>6700</v>
      </c>
      <c r="B14" s="31" t="s">
        <v>40</v>
      </c>
      <c r="C14" s="31"/>
      <c r="D14" s="30">
        <v>3400</v>
      </c>
      <c r="E14" s="31" t="s">
        <v>95</v>
      </c>
      <c r="F14" s="31">
        <v>0</v>
      </c>
    </row>
    <row r="15" spans="1:6" x14ac:dyDescent="0.25">
      <c r="A15" s="30">
        <v>6800</v>
      </c>
      <c r="B15" s="31" t="s">
        <v>43</v>
      </c>
      <c r="C15" s="31">
        <v>0</v>
      </c>
      <c r="D15" s="30">
        <v>3600</v>
      </c>
      <c r="E15" s="31" t="s">
        <v>51</v>
      </c>
      <c r="F15" s="31">
        <v>0</v>
      </c>
    </row>
    <row r="16" spans="1:6" x14ac:dyDescent="0.25">
      <c r="A16" s="30">
        <v>6900</v>
      </c>
      <c r="B16" s="31" t="s">
        <v>105</v>
      </c>
      <c r="C16" s="31">
        <v>0</v>
      </c>
      <c r="D16" s="30">
        <v>3630</v>
      </c>
      <c r="E16" s="31" t="s">
        <v>52</v>
      </c>
      <c r="F16" s="31"/>
    </row>
    <row r="17" spans="1:6" x14ac:dyDescent="0.25">
      <c r="A17" s="142">
        <v>9000</v>
      </c>
      <c r="B17" s="143" t="s">
        <v>41</v>
      </c>
      <c r="C17" s="141">
        <f>SUM(F11:F17)-SUM(C5:C16)</f>
        <v>0</v>
      </c>
      <c r="D17" s="30">
        <v>6950</v>
      </c>
      <c r="E17" s="31" t="s">
        <v>53</v>
      </c>
      <c r="F17" s="31">
        <v>0</v>
      </c>
    </row>
    <row r="18" spans="1:6" x14ac:dyDescent="0.25">
      <c r="A18" s="21"/>
      <c r="B18" s="11" t="s">
        <v>16</v>
      </c>
      <c r="C18" s="36">
        <f>SUM(C5:C17)</f>
        <v>0</v>
      </c>
      <c r="D18" s="12"/>
      <c r="E18" s="12" t="s">
        <v>16</v>
      </c>
      <c r="F18" s="36">
        <f>SUM(F9:F17)</f>
        <v>0</v>
      </c>
    </row>
    <row r="21" spans="1:6" ht="28.5" x14ac:dyDescent="0.45">
      <c r="C21" s="124" t="s">
        <v>86</v>
      </c>
      <c r="D21" s="123"/>
    </row>
    <row r="22" spans="1:6" x14ac:dyDescent="0.25">
      <c r="B22" s="3" t="s">
        <v>82</v>
      </c>
    </row>
    <row r="24" spans="1:6" x14ac:dyDescent="0.25">
      <c r="B24" s="127" t="s">
        <v>123</v>
      </c>
      <c r="C24" s="127"/>
      <c r="D24" s="31">
        <v>0</v>
      </c>
      <c r="E24" s="127" t="s">
        <v>78</v>
      </c>
      <c r="F24" s="145">
        <v>0</v>
      </c>
    </row>
    <row r="25" spans="1:6" x14ac:dyDescent="0.25">
      <c r="B25" s="127" t="s">
        <v>124</v>
      </c>
      <c r="C25" s="144">
        <v>44562</v>
      </c>
      <c r="D25" s="127" t="s">
        <v>108</v>
      </c>
      <c r="E25" s="144">
        <v>46752</v>
      </c>
      <c r="F25" s="146">
        <v>0</v>
      </c>
    </row>
    <row r="26" spans="1:6" x14ac:dyDescent="0.25">
      <c r="B26" s="127" t="s">
        <v>79</v>
      </c>
      <c r="C26" s="127" t="s">
        <v>78</v>
      </c>
      <c r="D26" s="127" t="s">
        <v>109</v>
      </c>
      <c r="E26" s="127" t="s">
        <v>107</v>
      </c>
      <c r="F26" s="127" t="s">
        <v>81</v>
      </c>
    </row>
    <row r="27" spans="1:6" x14ac:dyDescent="0.25">
      <c r="B27" s="127">
        <v>2017</v>
      </c>
      <c r="C27" s="128">
        <f>F24</f>
        <v>0</v>
      </c>
      <c r="D27" s="129">
        <f>D24*C27*F25/360</f>
        <v>0</v>
      </c>
      <c r="E27" s="127">
        <f>D27</f>
        <v>0</v>
      </c>
      <c r="F27" s="127">
        <f>D24-D27</f>
        <v>0</v>
      </c>
    </row>
    <row r="28" spans="1:6" x14ac:dyDescent="0.25">
      <c r="B28" s="127">
        <v>2018</v>
      </c>
      <c r="C28" s="128">
        <f>C27</f>
        <v>0</v>
      </c>
      <c r="D28" s="127">
        <v>20000</v>
      </c>
      <c r="E28" s="127">
        <f>E27+D28</f>
        <v>20000</v>
      </c>
      <c r="F28" s="127">
        <f>F27-D28</f>
        <v>-20000</v>
      </c>
    </row>
    <row r="29" spans="1:6" x14ac:dyDescent="0.25">
      <c r="B29" s="127">
        <v>2019</v>
      </c>
      <c r="C29" s="128">
        <f t="shared" ref="C29:D31" si="0">C28</f>
        <v>0</v>
      </c>
      <c r="D29" s="127">
        <f t="shared" si="0"/>
        <v>20000</v>
      </c>
      <c r="E29" s="127">
        <f>E28+D29</f>
        <v>40000</v>
      </c>
      <c r="F29" s="127">
        <f>F28-D29</f>
        <v>-40000</v>
      </c>
    </row>
    <row r="30" spans="1:6" x14ac:dyDescent="0.25">
      <c r="B30" s="127">
        <v>2020</v>
      </c>
      <c r="C30" s="128">
        <f t="shared" si="0"/>
        <v>0</v>
      </c>
      <c r="D30" s="127">
        <f t="shared" si="0"/>
        <v>20000</v>
      </c>
      <c r="E30" s="127">
        <f>E29+D30</f>
        <v>60000</v>
      </c>
      <c r="F30" s="127">
        <f>F29-D30</f>
        <v>-60000</v>
      </c>
    </row>
    <row r="31" spans="1:6" x14ac:dyDescent="0.25">
      <c r="B31" s="127">
        <v>2021</v>
      </c>
      <c r="C31" s="128">
        <f t="shared" si="0"/>
        <v>0</v>
      </c>
      <c r="D31" s="127">
        <f>D30 +(20000-D27)-1</f>
        <v>39999</v>
      </c>
      <c r="E31" s="127">
        <f>E30+D31</f>
        <v>99999</v>
      </c>
      <c r="F31" s="127">
        <f>F30-D31</f>
        <v>-99999</v>
      </c>
    </row>
    <row r="32" spans="1:6" x14ac:dyDescent="0.25">
      <c r="B32" s="20" t="s">
        <v>83</v>
      </c>
      <c r="C32" s="135"/>
      <c r="D32" s="20"/>
      <c r="E32" s="20"/>
      <c r="F32" s="20"/>
    </row>
    <row r="33" spans="2:6" x14ac:dyDescent="0.25">
      <c r="B33" s="20">
        <f>A15</f>
        <v>6800</v>
      </c>
      <c r="C33" s="20" t="str">
        <f>B15</f>
        <v>Amortissement actifs</v>
      </c>
      <c r="D33" s="20" t="s">
        <v>84</v>
      </c>
      <c r="E33" s="20" t="s">
        <v>126</v>
      </c>
      <c r="F33" s="136">
        <f>D27</f>
        <v>0</v>
      </c>
    </row>
    <row r="34" spans="2:6" x14ac:dyDescent="0.25">
      <c r="C34" s="122"/>
    </row>
    <row r="36" spans="2:6" x14ac:dyDescent="0.25">
      <c r="B36" s="3" t="s">
        <v>85</v>
      </c>
    </row>
    <row r="37" spans="2:6" x14ac:dyDescent="0.25">
      <c r="B37" s="127" t="s">
        <v>125</v>
      </c>
      <c r="C37" s="127"/>
      <c r="D37" s="31">
        <f>D24</f>
        <v>0</v>
      </c>
      <c r="E37" s="127" t="s">
        <v>78</v>
      </c>
      <c r="F37" s="145">
        <v>0.4</v>
      </c>
    </row>
    <row r="38" spans="2:6" x14ac:dyDescent="0.25">
      <c r="B38" s="127" t="s">
        <v>79</v>
      </c>
      <c r="C38" s="127" t="s">
        <v>78</v>
      </c>
      <c r="D38" s="127" t="s">
        <v>92</v>
      </c>
      <c r="E38" s="127" t="s">
        <v>80</v>
      </c>
      <c r="F38" s="127" t="s">
        <v>81</v>
      </c>
    </row>
    <row r="39" spans="2:6" x14ac:dyDescent="0.25">
      <c r="B39" s="127">
        <v>2017</v>
      </c>
      <c r="C39" s="128">
        <f>F37</f>
        <v>0.4</v>
      </c>
      <c r="D39" s="129">
        <f>D37*C39</f>
        <v>0</v>
      </c>
      <c r="E39" s="127">
        <f>D39</f>
        <v>0</v>
      </c>
      <c r="F39" s="127">
        <f>D37-D39</f>
        <v>0</v>
      </c>
    </row>
    <row r="40" spans="2:6" x14ac:dyDescent="0.25">
      <c r="B40" s="127">
        <v>2018</v>
      </c>
      <c r="C40" s="128">
        <f>C39</f>
        <v>0.4</v>
      </c>
      <c r="D40" s="127">
        <f>F39*C40</f>
        <v>0</v>
      </c>
      <c r="E40" s="127">
        <f>E39+D40</f>
        <v>0</v>
      </c>
      <c r="F40" s="127">
        <f>F39-D40</f>
        <v>0</v>
      </c>
    </row>
    <row r="41" spans="2:6" x14ac:dyDescent="0.25">
      <c r="B41" s="127">
        <v>2019</v>
      </c>
      <c r="C41" s="128">
        <f t="shared" ref="C41:C43" si="1">C40</f>
        <v>0.4</v>
      </c>
      <c r="D41" s="127">
        <f>F40*C41</f>
        <v>0</v>
      </c>
      <c r="E41" s="127">
        <f>E40+D41</f>
        <v>0</v>
      </c>
      <c r="F41" s="127">
        <f>F40-D41</f>
        <v>0</v>
      </c>
    </row>
    <row r="42" spans="2:6" x14ac:dyDescent="0.25">
      <c r="B42" s="127">
        <v>2020</v>
      </c>
      <c r="C42" s="128">
        <f t="shared" si="1"/>
        <v>0.4</v>
      </c>
      <c r="D42" s="127">
        <f>F41*C42</f>
        <v>0</v>
      </c>
      <c r="E42" s="127">
        <f>E41+D42</f>
        <v>0</v>
      </c>
      <c r="F42" s="127">
        <f>F41-D42</f>
        <v>0</v>
      </c>
    </row>
    <row r="43" spans="2:6" x14ac:dyDescent="0.25">
      <c r="B43" s="127">
        <v>2021</v>
      </c>
      <c r="C43" s="128">
        <f t="shared" si="1"/>
        <v>0.4</v>
      </c>
      <c r="D43" s="127">
        <f>F42-1</f>
        <v>-1</v>
      </c>
      <c r="E43" s="127">
        <f>E42+D43</f>
        <v>-1</v>
      </c>
      <c r="F43" s="127">
        <f>F42-D43</f>
        <v>1</v>
      </c>
    </row>
    <row r="44" spans="2:6" x14ac:dyDescent="0.25">
      <c r="B44" s="20" t="s">
        <v>83</v>
      </c>
      <c r="C44" s="135"/>
      <c r="D44" s="20"/>
      <c r="E44" s="20"/>
      <c r="F44" s="20"/>
    </row>
    <row r="45" spans="2:6" x14ac:dyDescent="0.25">
      <c r="B45" s="20">
        <f>B33</f>
        <v>6800</v>
      </c>
      <c r="C45" s="20" t="str">
        <f>C33</f>
        <v>Amortissement actifs</v>
      </c>
      <c r="D45" s="20" t="s">
        <v>84</v>
      </c>
      <c r="E45" s="20" t="s">
        <v>126</v>
      </c>
      <c r="F45" s="136">
        <f>D39</f>
        <v>0</v>
      </c>
    </row>
    <row r="48" spans="2:6" ht="28.5" x14ac:dyDescent="0.45">
      <c r="D48" s="124" t="s">
        <v>91</v>
      </c>
    </row>
    <row r="49" spans="2:8" x14ac:dyDescent="0.25">
      <c r="B49" s="3" t="s">
        <v>90</v>
      </c>
    </row>
    <row r="50" spans="2:8" x14ac:dyDescent="0.25">
      <c r="B50" s="130" t="s">
        <v>77</v>
      </c>
      <c r="C50" s="130"/>
      <c r="D50" s="147">
        <v>0</v>
      </c>
      <c r="E50" s="130" t="s">
        <v>78</v>
      </c>
      <c r="F50" s="149">
        <v>0.1</v>
      </c>
    </row>
    <row r="51" spans="2:8" x14ac:dyDescent="0.25">
      <c r="B51" s="130" t="s">
        <v>89</v>
      </c>
      <c r="C51" s="130"/>
      <c r="D51" s="148">
        <v>10</v>
      </c>
      <c r="E51" s="130" t="s">
        <v>87</v>
      </c>
      <c r="F51" s="126">
        <f>-PMT(F50,D51,D50)</f>
        <v>0</v>
      </c>
    </row>
    <row r="52" spans="2:8" x14ac:dyDescent="0.25">
      <c r="B52" s="130" t="s">
        <v>79</v>
      </c>
      <c r="C52" s="130" t="s">
        <v>88</v>
      </c>
      <c r="D52" s="130" t="s">
        <v>92</v>
      </c>
      <c r="E52" s="130" t="s">
        <v>87</v>
      </c>
      <c r="F52" s="130" t="s">
        <v>81</v>
      </c>
    </row>
    <row r="53" spans="2:8" x14ac:dyDescent="0.25">
      <c r="B53" s="130">
        <v>1</v>
      </c>
      <c r="C53" s="131">
        <f>F50*D50</f>
        <v>0</v>
      </c>
      <c r="D53" s="133">
        <f>E53-C53</f>
        <v>0</v>
      </c>
      <c r="E53" s="130">
        <f>F51</f>
        <v>0</v>
      </c>
      <c r="F53" s="130">
        <f>D50-D53</f>
        <v>0</v>
      </c>
    </row>
    <row r="54" spans="2:8" x14ac:dyDescent="0.25">
      <c r="B54" s="130">
        <v>2</v>
      </c>
      <c r="C54" s="130">
        <f>$F$50*F53</f>
        <v>0</v>
      </c>
      <c r="D54" s="134">
        <f t="shared" ref="D54:D62" si="2">E54-C54</f>
        <v>0</v>
      </c>
      <c r="E54" s="130">
        <f>E53</f>
        <v>0</v>
      </c>
      <c r="F54" s="130">
        <f>F53-D54</f>
        <v>0</v>
      </c>
    </row>
    <row r="55" spans="2:8" x14ac:dyDescent="0.25">
      <c r="B55" s="130">
        <v>3</v>
      </c>
      <c r="C55" s="130">
        <f>$F$50*F54</f>
        <v>0</v>
      </c>
      <c r="D55" s="134">
        <f>E55-C55</f>
        <v>0</v>
      </c>
      <c r="E55" s="130">
        <f t="shared" ref="E55:E62" si="3">E54</f>
        <v>0</v>
      </c>
      <c r="F55" s="130">
        <f t="shared" ref="F55:F62" si="4">F54-D55</f>
        <v>0</v>
      </c>
    </row>
    <row r="56" spans="2:8" x14ac:dyDescent="0.25">
      <c r="B56" s="130">
        <v>4</v>
      </c>
      <c r="C56" s="130">
        <f>$F$50*F55</f>
        <v>0</v>
      </c>
      <c r="D56" s="134">
        <f t="shared" si="2"/>
        <v>0</v>
      </c>
      <c r="E56" s="130">
        <f t="shared" si="3"/>
        <v>0</v>
      </c>
      <c r="F56" s="130">
        <f t="shared" si="4"/>
        <v>0</v>
      </c>
    </row>
    <row r="57" spans="2:8" x14ac:dyDescent="0.25">
      <c r="B57" s="130">
        <v>5</v>
      </c>
      <c r="C57" s="130">
        <f t="shared" ref="C57:C62" si="5">$F$50*F56</f>
        <v>0</v>
      </c>
      <c r="D57" s="134">
        <f t="shared" si="2"/>
        <v>0</v>
      </c>
      <c r="E57" s="130">
        <f t="shared" si="3"/>
        <v>0</v>
      </c>
      <c r="F57" s="130">
        <f t="shared" si="4"/>
        <v>0</v>
      </c>
    </row>
    <row r="58" spans="2:8" x14ac:dyDescent="0.25">
      <c r="B58" s="130">
        <v>6</v>
      </c>
      <c r="C58" s="130">
        <f t="shared" si="5"/>
        <v>0</v>
      </c>
      <c r="D58" s="134">
        <f t="shared" si="2"/>
        <v>0</v>
      </c>
      <c r="E58" s="130">
        <f t="shared" si="3"/>
        <v>0</v>
      </c>
      <c r="F58" s="130">
        <f t="shared" si="4"/>
        <v>0</v>
      </c>
    </row>
    <row r="59" spans="2:8" x14ac:dyDescent="0.25">
      <c r="B59" s="130">
        <v>7</v>
      </c>
      <c r="C59" s="130">
        <f t="shared" si="5"/>
        <v>0</v>
      </c>
      <c r="D59" s="134">
        <f t="shared" si="2"/>
        <v>0</v>
      </c>
      <c r="E59" s="130">
        <f t="shared" si="3"/>
        <v>0</v>
      </c>
      <c r="F59" s="130">
        <f t="shared" si="4"/>
        <v>0</v>
      </c>
    </row>
    <row r="60" spans="2:8" x14ac:dyDescent="0.25">
      <c r="B60" s="130">
        <v>8</v>
      </c>
      <c r="C60" s="130">
        <f t="shared" si="5"/>
        <v>0</v>
      </c>
      <c r="D60" s="134">
        <f t="shared" si="2"/>
        <v>0</v>
      </c>
      <c r="E60" s="130">
        <f t="shared" si="3"/>
        <v>0</v>
      </c>
      <c r="F60" s="130">
        <f t="shared" si="4"/>
        <v>0</v>
      </c>
    </row>
    <row r="61" spans="2:8" x14ac:dyDescent="0.25">
      <c r="B61" s="130">
        <v>9</v>
      </c>
      <c r="C61" s="130">
        <f t="shared" si="5"/>
        <v>0</v>
      </c>
      <c r="D61" s="134">
        <f t="shared" si="2"/>
        <v>0</v>
      </c>
      <c r="E61" s="130">
        <f t="shared" si="3"/>
        <v>0</v>
      </c>
      <c r="F61" s="130">
        <f t="shared" si="4"/>
        <v>0</v>
      </c>
    </row>
    <row r="62" spans="2:8" x14ac:dyDescent="0.25">
      <c r="B62" s="130">
        <v>10</v>
      </c>
      <c r="C62" s="130">
        <f t="shared" si="5"/>
        <v>0</v>
      </c>
      <c r="D62" s="134">
        <f t="shared" si="2"/>
        <v>0</v>
      </c>
      <c r="E62" s="130">
        <f t="shared" si="3"/>
        <v>0</v>
      </c>
      <c r="F62" s="130">
        <f t="shared" si="4"/>
        <v>0</v>
      </c>
    </row>
    <row r="63" spans="2:8" x14ac:dyDescent="0.25">
      <c r="B63" s="132" t="s">
        <v>25</v>
      </c>
      <c r="C63" s="132">
        <f>SUM(C53:C62)</f>
        <v>0</v>
      </c>
      <c r="D63" s="132">
        <f t="shared" ref="D63:E63" si="6">SUM(D53:D62)</f>
        <v>0</v>
      </c>
      <c r="E63" s="130">
        <f t="shared" si="6"/>
        <v>0</v>
      </c>
      <c r="F63" s="130"/>
      <c r="H63" s="125"/>
    </row>
    <row r="64" spans="2:8" x14ac:dyDescent="0.25">
      <c r="B64" s="20" t="s">
        <v>83</v>
      </c>
      <c r="C64" s="137"/>
      <c r="D64" s="138"/>
      <c r="E64" s="138"/>
      <c r="F64" s="138"/>
    </row>
    <row r="65" spans="2:8" x14ac:dyDescent="0.25">
      <c r="B65" s="20">
        <v>6900</v>
      </c>
      <c r="C65" s="138" t="s">
        <v>50</v>
      </c>
      <c r="D65" s="20" t="s">
        <v>84</v>
      </c>
      <c r="E65" s="138" t="s">
        <v>63</v>
      </c>
      <c r="F65" s="139">
        <f>C53</f>
        <v>0</v>
      </c>
    </row>
    <row r="66" spans="2:8" x14ac:dyDescent="0.25">
      <c r="B66" s="140">
        <v>6800</v>
      </c>
      <c r="C66" s="20" t="s">
        <v>92</v>
      </c>
      <c r="D66" s="20" t="s">
        <v>84</v>
      </c>
      <c r="E66" s="20" t="s">
        <v>63</v>
      </c>
      <c r="F66" s="139">
        <f>D53</f>
        <v>0</v>
      </c>
    </row>
    <row r="68" spans="2:8" ht="18.75" x14ac:dyDescent="0.3">
      <c r="B68" s="175" t="s">
        <v>110</v>
      </c>
      <c r="C68" s="172"/>
      <c r="D68" s="173"/>
    </row>
    <row r="70" spans="2:8" x14ac:dyDescent="0.25">
      <c r="B70" s="174" t="s">
        <v>111</v>
      </c>
      <c r="C70" s="174"/>
      <c r="D70" s="174"/>
      <c r="E70" s="174"/>
      <c r="F70" s="174"/>
      <c r="G70" s="174"/>
      <c r="H70" s="174"/>
    </row>
    <row r="71" spans="2:8" x14ac:dyDescent="0.25">
      <c r="B71" s="205" t="s">
        <v>113</v>
      </c>
      <c r="C71" s="206"/>
      <c r="D71" s="207" t="s">
        <v>114</v>
      </c>
      <c r="E71" s="206"/>
      <c r="F71" s="205" t="s">
        <v>115</v>
      </c>
      <c r="G71" s="206"/>
      <c r="H71" s="206"/>
    </row>
    <row r="72" spans="2:8" x14ac:dyDescent="0.25">
      <c r="B72" s="208"/>
      <c r="C72" s="209"/>
      <c r="D72" s="210"/>
      <c r="E72" s="211"/>
      <c r="F72" s="205">
        <f>B72-D72</f>
        <v>0</v>
      </c>
      <c r="G72" s="206"/>
      <c r="H72" s="206"/>
    </row>
    <row r="73" spans="2:8" x14ac:dyDescent="0.25">
      <c r="B73" s="174"/>
      <c r="C73" s="174"/>
      <c r="D73" s="174"/>
      <c r="E73" s="174"/>
      <c r="F73" s="174"/>
      <c r="G73" s="174"/>
      <c r="H73" s="174"/>
    </row>
    <row r="74" spans="2:8" x14ac:dyDescent="0.25">
      <c r="B74" s="174" t="s">
        <v>116</v>
      </c>
      <c r="C74" s="174"/>
      <c r="D74" s="174"/>
      <c r="E74" s="174"/>
      <c r="F74" s="174"/>
      <c r="G74" s="174"/>
      <c r="H74" s="174"/>
    </row>
    <row r="75" spans="2:8" x14ac:dyDescent="0.25">
      <c r="B75" s="205" t="s">
        <v>118</v>
      </c>
      <c r="C75" s="206"/>
      <c r="D75" s="207" t="s">
        <v>114</v>
      </c>
      <c r="E75" s="206"/>
      <c r="F75" s="205" t="s">
        <v>117</v>
      </c>
      <c r="G75" s="206"/>
      <c r="H75" s="206"/>
    </row>
    <row r="76" spans="2:8" x14ac:dyDescent="0.25">
      <c r="B76" s="208"/>
      <c r="C76" s="209"/>
      <c r="D76" s="210"/>
      <c r="E76" s="211"/>
      <c r="F76" s="205">
        <f>B76-D76</f>
        <v>0</v>
      </c>
      <c r="G76" s="206"/>
      <c r="H76" s="206"/>
    </row>
    <row r="77" spans="2:8" x14ac:dyDescent="0.25">
      <c r="B77" s="174"/>
      <c r="C77" s="174"/>
      <c r="D77" s="174"/>
      <c r="E77" s="174"/>
      <c r="F77" s="174"/>
      <c r="G77" s="174"/>
      <c r="H77" s="174"/>
    </row>
    <row r="78" spans="2:8" x14ac:dyDescent="0.25">
      <c r="B78" s="174" t="s">
        <v>116</v>
      </c>
      <c r="C78" s="174"/>
      <c r="D78" s="174"/>
      <c r="E78" s="174"/>
      <c r="F78" s="174"/>
      <c r="G78" s="174"/>
      <c r="H78" s="174"/>
    </row>
    <row r="79" spans="2:8" x14ac:dyDescent="0.25">
      <c r="B79" s="205" t="s">
        <v>118</v>
      </c>
      <c r="C79" s="206"/>
      <c r="D79" s="207" t="s">
        <v>114</v>
      </c>
      <c r="E79" s="206"/>
      <c r="F79" s="205" t="s">
        <v>117</v>
      </c>
      <c r="G79" s="206"/>
      <c r="H79" s="206"/>
    </row>
    <row r="80" spans="2:8" x14ac:dyDescent="0.25">
      <c r="B80" s="208"/>
      <c r="C80" s="209"/>
      <c r="D80" s="210"/>
      <c r="E80" s="211"/>
      <c r="F80" s="205">
        <f>B80-D80</f>
        <v>0</v>
      </c>
      <c r="G80" s="206"/>
      <c r="H80" s="206"/>
    </row>
    <row r="81" spans="2:8" x14ac:dyDescent="0.25">
      <c r="B81" s="174"/>
      <c r="C81" s="174"/>
      <c r="D81" s="174"/>
      <c r="E81" s="174"/>
      <c r="F81" s="174"/>
      <c r="G81" s="174"/>
      <c r="H81" s="174"/>
    </row>
    <row r="82" spans="2:8" x14ac:dyDescent="0.25">
      <c r="B82" s="174" t="s">
        <v>112</v>
      </c>
      <c r="C82" s="174"/>
      <c r="D82" s="174"/>
      <c r="E82" s="174"/>
      <c r="F82" s="174"/>
      <c r="G82" s="174"/>
      <c r="H82" s="174"/>
    </row>
    <row r="83" spans="2:8" x14ac:dyDescent="0.25">
      <c r="B83" s="205" t="s">
        <v>119</v>
      </c>
      <c r="C83" s="206"/>
      <c r="D83" s="207" t="s">
        <v>121</v>
      </c>
      <c r="E83" s="206"/>
      <c r="F83" s="205" t="s">
        <v>122</v>
      </c>
      <c r="G83" s="206"/>
      <c r="H83" s="206"/>
    </row>
    <row r="84" spans="2:8" x14ac:dyDescent="0.25">
      <c r="B84" s="208"/>
      <c r="C84" s="209"/>
      <c r="D84" s="210"/>
      <c r="E84" s="211"/>
      <c r="F84" s="205">
        <f>B84-D84</f>
        <v>0</v>
      </c>
      <c r="G84" s="206"/>
      <c r="H84" s="206"/>
    </row>
    <row r="85" spans="2:8" x14ac:dyDescent="0.25">
      <c r="B85" s="53"/>
      <c r="C85" s="51"/>
      <c r="D85" s="51"/>
      <c r="E85" s="53"/>
      <c r="F85" s="51"/>
      <c r="G85" s="53"/>
      <c r="H85" s="53"/>
    </row>
    <row r="86" spans="2:8" x14ac:dyDescent="0.25">
      <c r="B86" s="174" t="s">
        <v>120</v>
      </c>
      <c r="C86" s="174"/>
      <c r="D86" s="174"/>
      <c r="E86" s="174"/>
      <c r="F86" s="174"/>
      <c r="G86" s="174"/>
      <c r="H86" s="174"/>
    </row>
    <row r="87" spans="2:8" x14ac:dyDescent="0.25">
      <c r="B87" s="205" t="s">
        <v>119</v>
      </c>
      <c r="C87" s="206"/>
      <c r="D87" s="207" t="s">
        <v>121</v>
      </c>
      <c r="E87" s="206"/>
      <c r="F87" s="205" t="s">
        <v>122</v>
      </c>
      <c r="G87" s="206"/>
      <c r="H87" s="206"/>
    </row>
    <row r="88" spans="2:8" x14ac:dyDescent="0.25">
      <c r="B88" s="208"/>
      <c r="C88" s="209"/>
      <c r="D88" s="210"/>
      <c r="E88" s="211"/>
      <c r="F88" s="205">
        <f>B88-D88</f>
        <v>0</v>
      </c>
      <c r="G88" s="206"/>
      <c r="H88" s="206"/>
    </row>
  </sheetData>
  <sheetProtection password="C252" sheet="1" objects="1" scenarios="1" selectLockedCells="1"/>
  <mergeCells count="31">
    <mergeCell ref="B71:C71"/>
    <mergeCell ref="D71:E71"/>
    <mergeCell ref="F71:H71"/>
    <mergeCell ref="B72:C72"/>
    <mergeCell ref="D72:E72"/>
    <mergeCell ref="F72:H72"/>
    <mergeCell ref="B80:C80"/>
    <mergeCell ref="D80:E80"/>
    <mergeCell ref="F80:H80"/>
    <mergeCell ref="B75:C75"/>
    <mergeCell ref="D75:E75"/>
    <mergeCell ref="F75:H75"/>
    <mergeCell ref="B76:C76"/>
    <mergeCell ref="D76:E76"/>
    <mergeCell ref="F76:H76"/>
    <mergeCell ref="B1:F2"/>
    <mergeCell ref="B87:C87"/>
    <mergeCell ref="D87:E87"/>
    <mergeCell ref="F87:H87"/>
    <mergeCell ref="B88:C88"/>
    <mergeCell ref="D88:E88"/>
    <mergeCell ref="F88:H88"/>
    <mergeCell ref="B83:C83"/>
    <mergeCell ref="D83:E83"/>
    <mergeCell ref="F83:H83"/>
    <mergeCell ref="B84:C84"/>
    <mergeCell ref="D84:E84"/>
    <mergeCell ref="F84:H84"/>
    <mergeCell ref="B79:C79"/>
    <mergeCell ref="D79:E79"/>
    <mergeCell ref="F79:H79"/>
  </mergeCells>
  <pageMargins left="0.7" right="0.7" top="0.75" bottom="0.75" header="0.3" footer="0.3"/>
  <pageSetup paperSize="9" orientation="portrait" horizontalDpi="4294967293"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23553" r:id="rId4" name="Button 1">
              <controlPr defaultSize="0" print="0" autoFill="0" autoPict="0" macro="[0]!Budget_Bouton1_Cliquer">
                <anchor moveWithCells="1" sizeWithCells="1">
                  <from>
                    <xdr:col>7</xdr:col>
                    <xdr:colOff>171450</xdr:colOff>
                    <xdr:row>1</xdr:row>
                    <xdr:rowOff>76200</xdr:rowOff>
                  </from>
                  <to>
                    <xdr:col>8</xdr:col>
                    <xdr:colOff>600075</xdr:colOff>
                    <xdr:row>3</xdr:row>
                    <xdr:rowOff>142875</xdr:rowOff>
                  </to>
                </anchor>
              </controlPr>
            </control>
          </mc:Choice>
        </mc:AlternateContent>
      </controls>
    </mc:Choice>
  </mc:AlternateContent>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8"/>
  <dimension ref="A1:L108"/>
  <sheetViews>
    <sheetView tabSelected="1" zoomScaleNormal="100" workbookViewId="0">
      <selection activeCell="F9" sqref="F9"/>
    </sheetView>
  </sheetViews>
  <sheetFormatPr baseColWidth="10" defaultColWidth="11.42578125" defaultRowHeight="13.5" x14ac:dyDescent="0.25"/>
  <cols>
    <col min="1" max="1" width="5.42578125" style="48" customWidth="1"/>
    <col min="2" max="2" width="22" style="48" customWidth="1"/>
    <col min="3" max="3" width="14.42578125" style="48" customWidth="1"/>
    <col min="4" max="4" width="5.7109375" style="48" customWidth="1"/>
    <col min="5" max="5" width="25.28515625" style="48" customWidth="1"/>
    <col min="6" max="6" width="11.5703125" style="48" customWidth="1"/>
    <col min="7" max="7" width="4.5703125" style="48" customWidth="1"/>
    <col min="8" max="8" width="8.42578125" style="48" customWidth="1"/>
    <col min="9" max="9" width="8.140625" style="48" customWidth="1"/>
    <col min="10" max="10" width="7.28515625" style="48" customWidth="1"/>
    <col min="11" max="11" width="7.5703125" style="48" customWidth="1"/>
    <col min="12" max="12" width="7.7109375" style="48" customWidth="1"/>
    <col min="13" max="16384" width="11.42578125" style="48"/>
  </cols>
  <sheetData>
    <row r="1" spans="1:12" ht="26.25" x14ac:dyDescent="0.4">
      <c r="A1" s="215" t="s">
        <v>144</v>
      </c>
      <c r="B1" s="216"/>
      <c r="C1" s="215"/>
      <c r="D1" s="215"/>
      <c r="E1" s="216"/>
      <c r="F1" s="215"/>
      <c r="G1" s="47"/>
      <c r="H1" s="47"/>
      <c r="I1" s="47"/>
      <c r="J1" s="47"/>
      <c r="K1" s="47"/>
      <c r="L1" s="47"/>
    </row>
    <row r="2" spans="1:12" x14ac:dyDescent="0.25">
      <c r="A2" s="47"/>
      <c r="B2" s="47"/>
      <c r="C2" s="47"/>
      <c r="D2" s="47"/>
      <c r="E2" s="47"/>
      <c r="F2" s="47"/>
      <c r="G2" s="47"/>
      <c r="H2" s="47"/>
      <c r="I2" s="47"/>
      <c r="J2" s="47"/>
      <c r="K2" s="47"/>
      <c r="L2" s="47"/>
    </row>
    <row r="3" spans="1:12" ht="15.75" x14ac:dyDescent="0.25">
      <c r="A3" s="74">
        <f>'Bilan Clôture'!A2</f>
        <v>0</v>
      </c>
      <c r="B3" s="74" t="str">
        <f>'Bilan Clôture'!B2</f>
        <v>Actifs</v>
      </c>
      <c r="C3" s="74" t="str">
        <f>'Bilan Clôture'!C2</f>
        <v>Montant</v>
      </c>
      <c r="D3" s="74">
        <f>'Bilan Clôture'!D2</f>
        <v>0</v>
      </c>
      <c r="E3" s="74" t="str">
        <f>'Bilan Clôture'!E2</f>
        <v>Passifs</v>
      </c>
      <c r="F3" s="74" t="str">
        <f>'Bilan Clôture'!F2</f>
        <v>Montant</v>
      </c>
      <c r="G3" s="47"/>
      <c r="H3" s="47"/>
      <c r="I3" s="47"/>
      <c r="J3" s="47"/>
      <c r="K3" s="47"/>
      <c r="L3" s="47"/>
    </row>
    <row r="4" spans="1:12" x14ac:dyDescent="0.25">
      <c r="A4" s="75" t="str">
        <f>'Bilan Clôture'!A3</f>
        <v>N0</v>
      </c>
      <c r="B4" s="152" t="str">
        <f>'Bilan Clôture'!B3</f>
        <v>Comptes</v>
      </c>
      <c r="C4" s="75">
        <f>'Bilan Clôture'!C3</f>
        <v>0</v>
      </c>
      <c r="D4" s="75" t="str">
        <f>'Bilan Clôture'!D3</f>
        <v>N0</v>
      </c>
      <c r="E4" s="152" t="str">
        <f>'Bilan Clôture'!E3</f>
        <v>Comptes</v>
      </c>
      <c r="F4" s="75">
        <f>'Bilan Clôture'!F3</f>
        <v>0</v>
      </c>
      <c r="G4" s="47"/>
      <c r="H4" s="47"/>
      <c r="I4" s="47"/>
      <c r="J4" s="47"/>
      <c r="K4" s="47"/>
      <c r="L4" s="47"/>
    </row>
    <row r="5" spans="1:12" x14ac:dyDescent="0.25">
      <c r="A5" s="75">
        <f>'Bilan Clôture'!A4</f>
        <v>1000</v>
      </c>
      <c r="B5" s="152" t="str">
        <f>'Bilan Clôture'!B4</f>
        <v>Caisse</v>
      </c>
      <c r="C5" s="75">
        <f>'Bilan Clôture'!C4</f>
        <v>0</v>
      </c>
      <c r="D5" s="75">
        <f>'Bilan Clôture'!D4</f>
        <v>2010</v>
      </c>
      <c r="E5" s="152" t="str">
        <f>'Bilan Clôture'!E4</f>
        <v>Charges à payer et avance à rembourser</v>
      </c>
      <c r="F5" s="75">
        <f>'Bilan Clôture'!F4</f>
        <v>0</v>
      </c>
      <c r="G5" s="47"/>
      <c r="H5" s="47"/>
      <c r="I5" s="47"/>
      <c r="J5" s="47"/>
      <c r="K5" s="47"/>
      <c r="L5" s="47"/>
    </row>
    <row r="6" spans="1:12" x14ac:dyDescent="0.25">
      <c r="A6" s="75">
        <f>'Bilan Clôture'!A5</f>
        <v>1020</v>
      </c>
      <c r="B6" s="152" t="str">
        <f>'Bilan Clôture'!B5</f>
        <v>Banque</v>
      </c>
      <c r="C6" s="75">
        <v>1399.23</v>
      </c>
      <c r="D6" s="75">
        <f>'Bilan Clôture'!D5</f>
        <v>2400</v>
      </c>
      <c r="E6" s="152" t="str">
        <f>'Bilan Clôture'!E5</f>
        <v>Dettes bancaires ou autres emprunts</v>
      </c>
      <c r="F6" s="75">
        <f>'Bilan Clôture'!F5</f>
        <v>0</v>
      </c>
      <c r="G6" s="47"/>
      <c r="H6" s="47"/>
      <c r="I6" s="47"/>
      <c r="J6" s="47"/>
      <c r="K6" s="47"/>
      <c r="L6" s="47"/>
    </row>
    <row r="7" spans="1:12" x14ac:dyDescent="0.25">
      <c r="A7" s="75">
        <f>'Bilan Clôture'!A6</f>
        <v>1300</v>
      </c>
      <c r="B7" s="152" t="str">
        <f>'Bilan Clôture'!B6</f>
        <v xml:space="preserve">Actifs transitoires </v>
      </c>
      <c r="C7" s="75">
        <f>'Bilan Clôture'!C6</f>
        <v>0</v>
      </c>
      <c r="D7" s="75">
        <f>'Bilan Clôture'!D6</f>
        <v>2300</v>
      </c>
      <c r="E7" s="152" t="str">
        <f>'Bilan Clôture'!E6</f>
        <v>Passifs transitoires</v>
      </c>
      <c r="F7" s="75">
        <f>'Bilan Clôture'!F6</f>
        <v>0</v>
      </c>
      <c r="G7" s="47"/>
      <c r="H7" s="47"/>
      <c r="I7" s="47"/>
      <c r="J7" s="47"/>
      <c r="K7" s="47"/>
      <c r="L7" s="47"/>
    </row>
    <row r="8" spans="1:12" x14ac:dyDescent="0.25">
      <c r="A8" s="75">
        <f>'Bilan Clôture'!A7</f>
        <v>1110</v>
      </c>
      <c r="B8" s="152" t="str">
        <f>'Bilan Clôture'!B7</f>
        <v>Cotisation en attente des membres</v>
      </c>
      <c r="C8" s="75">
        <f>'Bilan Clôture'!C7</f>
        <v>0</v>
      </c>
      <c r="D8" s="75">
        <f>'Bilan Clôture'!D7</f>
        <v>2950</v>
      </c>
      <c r="E8" s="152" t="str">
        <f>'Bilan Clôture'!E7</f>
        <v>Résultat reporté</v>
      </c>
      <c r="F8" s="75">
        <f>'Bilan Clôture'!F7</f>
        <v>0</v>
      </c>
      <c r="G8" s="47"/>
      <c r="H8" s="47"/>
      <c r="I8" s="47"/>
      <c r="J8" s="47"/>
      <c r="K8" s="47"/>
      <c r="L8" s="47"/>
    </row>
    <row r="9" spans="1:12" x14ac:dyDescent="0.25">
      <c r="A9" s="75">
        <f>'Bilan Clôture'!A8</f>
        <v>1208</v>
      </c>
      <c r="B9" s="152" t="str">
        <f>'Bilan Clôture'!B8</f>
        <v>Diverses cautions versées</v>
      </c>
      <c r="C9" s="75">
        <f>'Bilan Clôture'!C8</f>
        <v>0</v>
      </c>
      <c r="D9" s="75">
        <f>'Bilan Clôture'!D8</f>
        <v>9000</v>
      </c>
      <c r="E9" s="152" t="str">
        <f>'Bilan Clôture'!E8</f>
        <v>Résultat</v>
      </c>
      <c r="F9" s="75">
        <f>'Bilan Clôture'!F8</f>
        <v>0</v>
      </c>
      <c r="G9" s="47"/>
      <c r="H9" s="47"/>
      <c r="I9" s="47"/>
      <c r="J9" s="47"/>
      <c r="K9" s="47"/>
      <c r="L9" s="47"/>
    </row>
    <row r="10" spans="1:12" x14ac:dyDescent="0.25">
      <c r="A10" s="75">
        <f>'Bilan Clôture'!A9</f>
        <v>1500</v>
      </c>
      <c r="B10" s="152" t="str">
        <f>'Bilan Clôture'!B9</f>
        <v>Actifs ex meuble</v>
      </c>
      <c r="C10" s="75">
        <f>'Bilan Clôture'!C9</f>
        <v>0</v>
      </c>
      <c r="D10" s="75">
        <f>'Bilan Clôture'!D9</f>
        <v>2800</v>
      </c>
      <c r="E10" s="152" t="str">
        <f>'Bilan Clôture'!E9</f>
        <v>Capital ou fond déposé en banque</v>
      </c>
      <c r="F10" s="75">
        <f>'Bilan Clôture'!F9</f>
        <v>0</v>
      </c>
      <c r="G10" s="47"/>
      <c r="H10" s="47"/>
      <c r="I10" s="47"/>
      <c r="J10" s="47"/>
      <c r="K10" s="47"/>
      <c r="L10" s="47"/>
    </row>
    <row r="11" spans="1:12" x14ac:dyDescent="0.25">
      <c r="A11" s="75">
        <f>'Bilan Clôture'!A10</f>
        <v>1530</v>
      </c>
      <c r="B11" s="152" t="str">
        <f>'Bilan Clôture'!B10</f>
        <v>Actifs ex véhicule</v>
      </c>
      <c r="C11" s="75">
        <f>'Bilan Clôture'!C10</f>
        <v>0</v>
      </c>
      <c r="D11" s="75"/>
      <c r="E11" s="75"/>
      <c r="F11" s="75"/>
      <c r="G11" s="47"/>
      <c r="H11" s="47"/>
      <c r="I11" s="47"/>
      <c r="J11" s="47"/>
      <c r="K11" s="47"/>
      <c r="L11" s="47"/>
    </row>
    <row r="12" spans="1:12" ht="15.75" x14ac:dyDescent="0.25">
      <c r="A12" s="74"/>
      <c r="B12" s="74" t="str">
        <f>'Bilan Clôture'!B11</f>
        <v>Total</v>
      </c>
      <c r="C12" s="74">
        <f>C6</f>
        <v>1399.23</v>
      </c>
      <c r="D12" s="74"/>
      <c r="E12" s="74" t="str">
        <f>'Bilan Clôture'!E11</f>
        <v>Total</v>
      </c>
      <c r="F12" s="74">
        <f>'Bilan Clôture'!F11</f>
        <v>0</v>
      </c>
      <c r="G12" s="47"/>
      <c r="H12" s="47"/>
      <c r="I12" s="47"/>
      <c r="J12" s="47"/>
      <c r="K12" s="47"/>
      <c r="L12" s="47"/>
    </row>
    <row r="13" spans="1:12" x14ac:dyDescent="0.25">
      <c r="A13" s="47"/>
      <c r="B13" s="47"/>
      <c r="C13" s="47"/>
      <c r="D13" s="47"/>
      <c r="E13" s="47"/>
      <c r="F13" s="47"/>
      <c r="G13" s="47"/>
      <c r="H13" s="47"/>
      <c r="I13" s="47"/>
      <c r="J13" s="47"/>
      <c r="K13" s="47"/>
      <c r="L13" s="47"/>
    </row>
    <row r="14" spans="1:12" ht="13.5" customHeight="1" x14ac:dyDescent="0.25">
      <c r="A14" s="212" t="s">
        <v>6</v>
      </c>
      <c r="B14" s="213"/>
      <c r="C14" s="213"/>
      <c r="D14" s="213"/>
      <c r="E14" s="213"/>
      <c r="F14" s="214"/>
      <c r="G14" s="47"/>
      <c r="H14" s="47"/>
      <c r="I14" s="47"/>
      <c r="J14" s="47"/>
      <c r="K14" s="47"/>
      <c r="L14" s="47"/>
    </row>
    <row r="15" spans="1:12" ht="13.5" customHeight="1" x14ac:dyDescent="0.25">
      <c r="A15" s="213"/>
      <c r="B15" s="213"/>
      <c r="C15" s="213"/>
      <c r="D15" s="213"/>
      <c r="E15" s="213"/>
      <c r="F15" s="214"/>
      <c r="G15" s="47"/>
      <c r="H15" s="47"/>
      <c r="I15" s="47"/>
      <c r="J15" s="47"/>
      <c r="K15" s="47"/>
      <c r="L15" s="47"/>
    </row>
    <row r="16" spans="1:12" ht="15.75" x14ac:dyDescent="0.25">
      <c r="A16" s="76"/>
      <c r="B16" s="77" t="str">
        <f>Résultat!B4</f>
        <v>Charges</v>
      </c>
      <c r="C16" s="78" t="str">
        <f>Résultat!C4</f>
        <v>Montants</v>
      </c>
      <c r="D16" s="77"/>
      <c r="E16" s="77" t="str">
        <f>Résultat!E4</f>
        <v>Produits</v>
      </c>
      <c r="F16" s="78" t="str">
        <f>Résultat!F4</f>
        <v>Montants</v>
      </c>
      <c r="G16" s="47"/>
      <c r="H16" s="47"/>
      <c r="I16" s="47"/>
      <c r="J16" s="47"/>
      <c r="K16" s="47"/>
      <c r="L16" s="47"/>
    </row>
    <row r="17" spans="1:12" x14ac:dyDescent="0.25">
      <c r="A17" s="79">
        <f>Résultat!A6</f>
        <v>454000</v>
      </c>
      <c r="B17" s="79" t="str">
        <f>Résultat!B6</f>
        <v>Frais bénévoles PP ONSS</v>
      </c>
      <c r="C17" s="80">
        <f>Résultat!C6</f>
        <v>0</v>
      </c>
      <c r="D17" s="79"/>
      <c r="E17" s="79"/>
      <c r="F17" s="80">
        <f>Résultat!F6</f>
        <v>0</v>
      </c>
      <c r="G17" s="47"/>
      <c r="H17" s="47"/>
      <c r="I17" s="47"/>
      <c r="J17" s="47"/>
      <c r="K17" s="47"/>
      <c r="L17" s="47"/>
    </row>
    <row r="18" spans="1:12" x14ac:dyDescent="0.25">
      <c r="A18" s="79">
        <f>Résultat!A7</f>
        <v>611000</v>
      </c>
      <c r="B18" s="79" t="str">
        <f>Résultat!B7</f>
        <v xml:space="preserve">Loyer </v>
      </c>
      <c r="C18" s="80">
        <f>Résultat!C7</f>
        <v>7167.5</v>
      </c>
      <c r="D18" s="79"/>
      <c r="E18" s="79"/>
      <c r="F18" s="80">
        <f>Résultat!F7</f>
        <v>0</v>
      </c>
      <c r="G18" s="47"/>
      <c r="H18" s="47"/>
      <c r="I18" s="47"/>
      <c r="J18" s="47"/>
      <c r="K18" s="47"/>
      <c r="L18" s="47"/>
    </row>
    <row r="19" spans="1:12" x14ac:dyDescent="0.25">
      <c r="A19" s="79">
        <f>Résultat!A8</f>
        <v>611100</v>
      </c>
      <c r="B19" s="79" t="str">
        <f>Résultat!B8</f>
        <v>Electricité, gaz</v>
      </c>
      <c r="C19" s="80">
        <f>Résultat!C8</f>
        <v>0</v>
      </c>
      <c r="D19" s="79"/>
      <c r="E19" s="79"/>
      <c r="F19" s="80">
        <f>Résultat!F8</f>
        <v>0</v>
      </c>
      <c r="G19" s="47"/>
      <c r="H19" s="47"/>
      <c r="I19" s="47"/>
      <c r="J19" s="47"/>
      <c r="K19" s="47"/>
      <c r="L19" s="47"/>
    </row>
    <row r="20" spans="1:12" x14ac:dyDescent="0.25">
      <c r="A20" s="79">
        <f>Résultat!A9</f>
        <v>611200</v>
      </c>
      <c r="B20" s="79" t="str">
        <f>Résultat!B9</f>
        <v>Charges Divers</v>
      </c>
      <c r="C20" s="80">
        <f>Résultat!C9</f>
        <v>59688.680000000008</v>
      </c>
      <c r="D20" s="79"/>
      <c r="E20" s="79"/>
      <c r="F20" s="80">
        <f>Résultat!F9</f>
        <v>0</v>
      </c>
      <c r="G20" s="47"/>
      <c r="H20" s="47"/>
      <c r="I20" s="47"/>
      <c r="J20" s="47"/>
      <c r="K20" s="47"/>
      <c r="L20" s="47"/>
    </row>
    <row r="21" spans="1:12" x14ac:dyDescent="0.25">
      <c r="A21" s="79">
        <f>Résultat!A10</f>
        <v>611500</v>
      </c>
      <c r="B21" s="79" t="str">
        <f>Résultat!B10</f>
        <v>Frais d'expéditions et Pub</v>
      </c>
      <c r="C21" s="80">
        <f>Résultat!C10</f>
        <v>0</v>
      </c>
      <c r="D21" s="79"/>
      <c r="E21" s="79"/>
      <c r="F21" s="80">
        <f>Résultat!F10</f>
        <v>0</v>
      </c>
      <c r="G21" s="47"/>
      <c r="H21" s="47"/>
      <c r="I21" s="47"/>
      <c r="J21" s="47"/>
      <c r="K21" s="47"/>
      <c r="L21" s="47"/>
    </row>
    <row r="22" spans="1:12" x14ac:dyDescent="0.25">
      <c r="A22" s="79">
        <f>Résultat!A11</f>
        <v>614000</v>
      </c>
      <c r="B22" s="79" t="str">
        <f>Résultat!B11</f>
        <v>Divers assurances</v>
      </c>
      <c r="C22" s="80">
        <f>Résultat!C11</f>
        <v>0</v>
      </c>
      <c r="D22" s="79"/>
      <c r="E22" s="79"/>
      <c r="F22" s="80">
        <f>Résultat!F11</f>
        <v>0</v>
      </c>
      <c r="G22" s="47"/>
      <c r="H22" s="47"/>
      <c r="I22" s="47"/>
      <c r="J22" s="47"/>
      <c r="K22" s="47"/>
      <c r="L22" s="47"/>
    </row>
    <row r="23" spans="1:12" x14ac:dyDescent="0.25">
      <c r="A23" s="79">
        <f>Résultat!A12</f>
        <v>621000</v>
      </c>
      <c r="B23" s="79" t="str">
        <f>Résultat!B12</f>
        <v>Salaire</v>
      </c>
      <c r="C23" s="80">
        <f>Résultat!C12</f>
        <v>8000.3</v>
      </c>
      <c r="D23" s="79">
        <f>Résultat!D12</f>
        <v>3201</v>
      </c>
      <c r="E23" s="79" t="str">
        <f>Résultat!E12</f>
        <v>Subventions obtenues projet 1</v>
      </c>
      <c r="F23" s="80">
        <f>Résultat!F12</f>
        <v>0</v>
      </c>
      <c r="G23" s="47"/>
      <c r="H23" s="47"/>
      <c r="I23" s="47"/>
      <c r="J23" s="47"/>
      <c r="K23" s="47"/>
      <c r="L23" s="47"/>
    </row>
    <row r="24" spans="1:12" x14ac:dyDescent="0.25">
      <c r="A24" s="79">
        <f>Résultat!A13</f>
        <v>613000</v>
      </c>
      <c r="B24" s="79" t="str">
        <f>Résultat!B13</f>
        <v>Divers frais administratifs</v>
      </c>
      <c r="C24" s="80">
        <f>Résultat!C13</f>
        <v>0</v>
      </c>
      <c r="D24" s="79">
        <f>Résultat!D13</f>
        <v>3202</v>
      </c>
      <c r="E24" s="79" t="str">
        <f>Résultat!E13</f>
        <v>Subventions obtenues projet 2</v>
      </c>
      <c r="F24" s="80">
        <f>Résultat!F13</f>
        <v>0</v>
      </c>
      <c r="G24" s="47"/>
      <c r="H24" s="47"/>
      <c r="I24" s="47"/>
      <c r="J24" s="47"/>
      <c r="K24" s="47"/>
      <c r="L24" s="47"/>
    </row>
    <row r="25" spans="1:12" x14ac:dyDescent="0.25">
      <c r="A25" s="79">
        <f>Résultat!A14</f>
        <v>618000</v>
      </c>
      <c r="B25" s="79" t="str">
        <f>Résultat!B14</f>
        <v>Frais Bénévoles</v>
      </c>
      <c r="C25" s="80">
        <f>Résultat!C14</f>
        <v>0</v>
      </c>
      <c r="D25" s="79">
        <f>Résultat!D14</f>
        <v>3203</v>
      </c>
      <c r="E25" s="79" t="str">
        <f>Résultat!E14</f>
        <v>Subventions obtenues projet 3</v>
      </c>
      <c r="F25" s="80">
        <f>Résultat!F14</f>
        <v>0</v>
      </c>
      <c r="G25" s="47"/>
      <c r="H25" s="47"/>
      <c r="I25" s="47"/>
      <c r="J25" s="47"/>
      <c r="K25" s="47"/>
      <c r="L25" s="47"/>
    </row>
    <row r="26" spans="1:12" x14ac:dyDescent="0.25">
      <c r="A26" s="79">
        <f>Résultat!A15</f>
        <v>670000</v>
      </c>
      <c r="B26" s="79" t="str">
        <f>Résultat!B15</f>
        <v>ACE / mali de caisse</v>
      </c>
      <c r="C26" s="80">
        <f>Résultat!C15</f>
        <v>0</v>
      </c>
      <c r="D26" s="79">
        <f>Résultat!D15</f>
        <v>3400</v>
      </c>
      <c r="E26" s="79" t="str">
        <f>Résultat!E15</f>
        <v>Subventions non affectées obtenues</v>
      </c>
      <c r="F26" s="80">
        <f>Résultat!F15</f>
        <v>0</v>
      </c>
      <c r="G26" s="47"/>
      <c r="H26" s="47"/>
      <c r="I26" s="47"/>
      <c r="J26" s="47"/>
      <c r="K26" s="47"/>
      <c r="L26" s="47"/>
    </row>
    <row r="27" spans="1:12" x14ac:dyDescent="0.25">
      <c r="A27" s="79">
        <f>Résultat!A16</f>
        <v>630000</v>
      </c>
      <c r="B27" s="79" t="str">
        <f>Résultat!B16</f>
        <v>Amortissement actifs</v>
      </c>
      <c r="C27" s="80">
        <f>Résultat!C16</f>
        <v>0</v>
      </c>
      <c r="D27" s="79">
        <f>Résultat!D16</f>
        <v>3600</v>
      </c>
      <c r="E27" s="79" t="str">
        <f>Résultat!E16</f>
        <v>Cotisations payées par les membres</v>
      </c>
      <c r="F27" s="80">
        <f>Résultat!F16</f>
        <v>0</v>
      </c>
      <c r="G27" s="47"/>
      <c r="H27" s="47"/>
      <c r="I27" s="47"/>
      <c r="J27" s="47"/>
      <c r="K27" s="47"/>
      <c r="L27" s="47"/>
    </row>
    <row r="28" spans="1:12" x14ac:dyDescent="0.25">
      <c r="A28" s="79">
        <f>Résultat!A17</f>
        <v>657000</v>
      </c>
      <c r="B28" s="79" t="str">
        <f>Résultat!B17</f>
        <v>Frais et charges financiers</v>
      </c>
      <c r="C28" s="80">
        <f>Résultat!C17</f>
        <v>77.319999999999993</v>
      </c>
      <c r="D28" s="79">
        <f>Résultat!D17</f>
        <v>3630</v>
      </c>
      <c r="E28" s="79" t="str">
        <f>Résultat!E17</f>
        <v>Dons et legs obtenus / boni de caisse</v>
      </c>
      <c r="F28" s="80">
        <f>Résultat!F17</f>
        <v>0</v>
      </c>
      <c r="G28" s="47"/>
      <c r="H28" s="47"/>
      <c r="I28" s="47"/>
      <c r="J28" s="47"/>
      <c r="K28" s="47"/>
      <c r="L28" s="47"/>
    </row>
    <row r="29" spans="1:12" x14ac:dyDescent="0.25">
      <c r="A29" s="79">
        <f>Résultat!A18</f>
        <v>140000</v>
      </c>
      <c r="B29" s="79" t="str">
        <f>Résultat!B18</f>
        <v>Résultat avant affectation</v>
      </c>
      <c r="C29" s="80">
        <v>-144.30000000000001</v>
      </c>
      <c r="D29" s="79">
        <f>Résultat!D18</f>
        <v>700000</v>
      </c>
      <c r="E29" s="79" t="str">
        <f>Résultat!E18</f>
        <v>Paiement Parents</v>
      </c>
      <c r="F29" s="80">
        <f>Journal!E18</f>
        <v>74789.5</v>
      </c>
      <c r="G29" s="47"/>
      <c r="H29" s="47"/>
      <c r="I29" s="47"/>
      <c r="J29" s="47"/>
      <c r="K29" s="47"/>
      <c r="L29" s="47"/>
    </row>
    <row r="30" spans="1:12" ht="15.75" x14ac:dyDescent="0.25">
      <c r="A30" s="77"/>
      <c r="B30" s="77" t="str">
        <f>Résultat!B19</f>
        <v>Total</v>
      </c>
      <c r="C30" s="78">
        <f>SUM(C17:C29)</f>
        <v>74789.500000000015</v>
      </c>
      <c r="D30" s="77"/>
      <c r="E30" s="77" t="s">
        <v>16</v>
      </c>
      <c r="F30" s="78">
        <f>SUM(F28:F29)</f>
        <v>74789.5</v>
      </c>
      <c r="G30" s="47"/>
      <c r="H30" s="47"/>
      <c r="I30" s="47"/>
      <c r="J30" s="47"/>
      <c r="K30" s="47"/>
      <c r="L30" s="47"/>
    </row>
    <row r="31" spans="1:12" x14ac:dyDescent="0.25">
      <c r="A31" s="47"/>
      <c r="B31" s="47"/>
      <c r="C31" s="47"/>
      <c r="D31" s="47"/>
      <c r="E31" s="47"/>
      <c r="F31" s="47"/>
      <c r="G31" s="47"/>
      <c r="H31" s="47"/>
      <c r="I31" s="47"/>
      <c r="J31" s="47"/>
      <c r="K31" s="47"/>
      <c r="L31" s="47"/>
    </row>
    <row r="32" spans="1:12" x14ac:dyDescent="0.25">
      <c r="A32" s="47"/>
      <c r="B32" s="47"/>
      <c r="C32" s="47"/>
      <c r="D32" s="47"/>
      <c r="E32" s="47"/>
      <c r="F32" s="47"/>
      <c r="G32" s="47"/>
      <c r="H32" s="47"/>
      <c r="I32" s="47"/>
      <c r="J32" s="47"/>
      <c r="K32" s="47"/>
      <c r="L32" s="47"/>
    </row>
    <row r="33" spans="1:12" ht="15" x14ac:dyDescent="0.25">
      <c r="A33" s="81"/>
      <c r="B33" s="217" t="s">
        <v>9</v>
      </c>
      <c r="C33" s="218"/>
      <c r="D33" s="218"/>
      <c r="E33" s="218"/>
      <c r="F33" s="218"/>
      <c r="G33" s="47"/>
      <c r="H33" s="47"/>
      <c r="I33" s="47"/>
      <c r="J33" s="47"/>
      <c r="K33" s="47"/>
      <c r="L33" s="47"/>
    </row>
    <row r="34" spans="1:12" ht="15" x14ac:dyDescent="0.25">
      <c r="A34" s="81"/>
      <c r="B34" s="219"/>
      <c r="C34" s="219"/>
      <c r="D34" s="219"/>
      <c r="E34" s="219"/>
      <c r="F34" s="219"/>
      <c r="G34" s="47"/>
      <c r="H34" s="47"/>
      <c r="I34" s="47"/>
      <c r="J34" s="47"/>
      <c r="K34" s="47"/>
      <c r="L34" s="47"/>
    </row>
    <row r="35" spans="1:12" ht="15.75" x14ac:dyDescent="0.25">
      <c r="A35" s="86"/>
      <c r="B35" s="87" t="s">
        <v>18</v>
      </c>
      <c r="C35" s="88" t="s">
        <v>57</v>
      </c>
      <c r="D35" s="86"/>
      <c r="E35" s="87" t="s">
        <v>58</v>
      </c>
      <c r="F35" s="89" t="s">
        <v>57</v>
      </c>
      <c r="G35" s="47"/>
      <c r="H35" s="47"/>
      <c r="I35" s="47"/>
      <c r="J35" s="47"/>
      <c r="K35" s="47"/>
      <c r="L35" s="47"/>
    </row>
    <row r="36" spans="1:12" x14ac:dyDescent="0.25">
      <c r="A36" s="82"/>
      <c r="B36" s="49"/>
      <c r="C36" s="83"/>
      <c r="D36" s="82"/>
      <c r="E36" s="49"/>
      <c r="F36" s="83"/>
      <c r="G36" s="47"/>
      <c r="H36" s="47"/>
      <c r="I36" s="47"/>
      <c r="J36" s="47"/>
      <c r="K36" s="47"/>
      <c r="L36" s="47"/>
    </row>
    <row r="37" spans="1:12" x14ac:dyDescent="0.25">
      <c r="A37" s="84">
        <f>Budget!A5</f>
        <v>5200</v>
      </c>
      <c r="B37" s="153" t="str">
        <f>Budget!B5</f>
        <v>Défraiement bénévoles</v>
      </c>
      <c r="C37" s="84">
        <f>Budget!C5</f>
        <v>0</v>
      </c>
      <c r="D37" s="82"/>
      <c r="E37" s="49"/>
      <c r="F37" s="83"/>
      <c r="G37" s="47"/>
      <c r="H37" s="47"/>
      <c r="I37" s="47"/>
      <c r="J37" s="47"/>
      <c r="K37" s="47"/>
      <c r="L37" s="47"/>
    </row>
    <row r="38" spans="1:12" x14ac:dyDescent="0.25">
      <c r="A38" s="84">
        <f>Budget!A6</f>
        <v>5270</v>
      </c>
      <c r="B38" s="153" t="str">
        <f>Budget!B6</f>
        <v xml:space="preserve">Charges de projet </v>
      </c>
      <c r="C38" s="84">
        <f>Budget!C6</f>
        <v>0</v>
      </c>
      <c r="D38" s="82"/>
      <c r="E38" s="49"/>
      <c r="F38" s="83"/>
      <c r="G38" s="47"/>
      <c r="H38" s="47"/>
      <c r="I38" s="47"/>
      <c r="J38" s="47"/>
      <c r="K38" s="47"/>
      <c r="L38" s="47"/>
    </row>
    <row r="39" spans="1:12" x14ac:dyDescent="0.25">
      <c r="A39" s="84">
        <f>Budget!A7</f>
        <v>6000</v>
      </c>
      <c r="B39" s="153" t="str">
        <f>Budget!B7</f>
        <v xml:space="preserve">Charges de projet </v>
      </c>
      <c r="C39" s="84">
        <f>Budget!C7</f>
        <v>0</v>
      </c>
      <c r="D39" s="82"/>
      <c r="E39" s="49"/>
      <c r="F39" s="83"/>
      <c r="G39" s="47"/>
      <c r="H39" s="47"/>
      <c r="I39" s="47"/>
      <c r="J39" s="47"/>
      <c r="K39" s="47"/>
      <c r="L39" s="47"/>
    </row>
    <row r="40" spans="1:12" x14ac:dyDescent="0.25">
      <c r="A40" s="84">
        <f>Budget!A8</f>
        <v>6100</v>
      </c>
      <c r="B40" s="153" t="str">
        <f>Budget!B8</f>
        <v xml:space="preserve">Charges de projet </v>
      </c>
      <c r="C40" s="84">
        <f>Budget!C8</f>
        <v>0</v>
      </c>
      <c r="D40" s="82"/>
      <c r="E40" s="49"/>
      <c r="F40" s="83"/>
      <c r="G40" s="47"/>
      <c r="H40" s="47"/>
      <c r="I40" s="47"/>
      <c r="J40" s="47"/>
      <c r="K40" s="47"/>
      <c r="L40" s="47"/>
    </row>
    <row r="41" spans="1:12" x14ac:dyDescent="0.25">
      <c r="A41" s="84">
        <f>Budget!A9</f>
        <v>6280</v>
      </c>
      <c r="B41" s="153" t="str">
        <f>Budget!B9</f>
        <v>Frais d'expéditions et Pub</v>
      </c>
      <c r="C41" s="84">
        <f>Budget!C9</f>
        <v>0</v>
      </c>
      <c r="D41" s="82"/>
      <c r="E41" s="49"/>
      <c r="F41" s="83"/>
      <c r="G41" s="47"/>
      <c r="H41" s="47"/>
      <c r="I41" s="47"/>
      <c r="J41" s="47"/>
      <c r="K41" s="47"/>
      <c r="L41" s="47"/>
    </row>
    <row r="42" spans="1:12" x14ac:dyDescent="0.25">
      <c r="A42" s="84">
        <f>Budget!A10</f>
        <v>6300</v>
      </c>
      <c r="B42" s="153" t="str">
        <f>Budget!B10</f>
        <v>Divers assurances</v>
      </c>
      <c r="C42" s="84">
        <f>Budget!C10</f>
        <v>0</v>
      </c>
      <c r="D42" s="82"/>
      <c r="E42" s="49"/>
      <c r="F42" s="83"/>
      <c r="G42" s="47"/>
      <c r="H42" s="47"/>
      <c r="I42" s="47"/>
      <c r="J42" s="47"/>
      <c r="K42" s="47"/>
      <c r="L42" s="47"/>
    </row>
    <row r="43" spans="1:12" x14ac:dyDescent="0.25">
      <c r="A43" s="84">
        <f>Budget!A11</f>
        <v>6400</v>
      </c>
      <c r="B43" s="153" t="str">
        <f>Budget!B11</f>
        <v>Electricite, gaz</v>
      </c>
      <c r="C43" s="84">
        <f>Budget!C11</f>
        <v>0</v>
      </c>
      <c r="D43" s="84">
        <f>Budget!D11</f>
        <v>3201</v>
      </c>
      <c r="E43" s="153" t="str">
        <f>Budget!E11</f>
        <v xml:space="preserve">Subventions  à obtenir projet </v>
      </c>
      <c r="F43" s="84">
        <f>Budget!F11</f>
        <v>0</v>
      </c>
      <c r="G43" s="47"/>
      <c r="H43" s="47"/>
      <c r="I43" s="47"/>
      <c r="J43" s="47"/>
      <c r="K43" s="47"/>
      <c r="L43" s="47"/>
    </row>
    <row r="44" spans="1:12" x14ac:dyDescent="0.25">
      <c r="A44" s="84">
        <f>Budget!A12</f>
        <v>6500</v>
      </c>
      <c r="B44" s="153" t="str">
        <f>Budget!B12</f>
        <v>Divers frais administratifs</v>
      </c>
      <c r="C44" s="84">
        <f>Budget!C12</f>
        <v>0</v>
      </c>
      <c r="D44" s="84">
        <f>Budget!D12</f>
        <v>3202</v>
      </c>
      <c r="E44" s="153" t="str">
        <f>Budget!E12</f>
        <v xml:space="preserve">Subventions  à obtenir projet </v>
      </c>
      <c r="F44" s="84">
        <f>Budget!F12</f>
        <v>0</v>
      </c>
      <c r="G44" s="47"/>
      <c r="H44" s="47"/>
      <c r="I44" s="47"/>
      <c r="J44" s="47"/>
      <c r="K44" s="47"/>
      <c r="L44" s="47"/>
    </row>
    <row r="45" spans="1:12" x14ac:dyDescent="0.25">
      <c r="A45" s="84">
        <f>Budget!A13</f>
        <v>6640</v>
      </c>
      <c r="B45" s="153" t="str">
        <f>Budget!B13</f>
        <v>Frais de déplacement et recherche</v>
      </c>
      <c r="C45" s="84">
        <f>Budget!C13</f>
        <v>0</v>
      </c>
      <c r="D45" s="84">
        <f>Budget!D13</f>
        <v>3203</v>
      </c>
      <c r="E45" s="153" t="str">
        <f>Budget!E13</f>
        <v xml:space="preserve">Subventions  à obtenir projet </v>
      </c>
      <c r="F45" s="84">
        <f>Budget!F13</f>
        <v>0</v>
      </c>
      <c r="G45" s="47"/>
      <c r="H45" s="47"/>
      <c r="I45" s="47"/>
      <c r="J45" s="47"/>
      <c r="K45" s="47"/>
      <c r="L45" s="47"/>
    </row>
    <row r="46" spans="1:12" x14ac:dyDescent="0.25">
      <c r="A46" s="84">
        <f>Budget!A14</f>
        <v>6700</v>
      </c>
      <c r="B46" s="153" t="str">
        <f>Budget!B14</f>
        <v>ACE / mali de caisse</v>
      </c>
      <c r="C46" s="84">
        <f>Budget!C14</f>
        <v>0</v>
      </c>
      <c r="D46" s="84">
        <f>Budget!D14</f>
        <v>3400</v>
      </c>
      <c r="E46" s="153" t="str">
        <f>Budget!E14</f>
        <v>Subventions non affectées à obtenir</v>
      </c>
      <c r="F46" s="84">
        <f>Budget!F14</f>
        <v>0</v>
      </c>
      <c r="G46" s="47"/>
      <c r="H46" s="47"/>
      <c r="I46" s="47"/>
      <c r="J46" s="47"/>
      <c r="K46" s="47"/>
      <c r="L46" s="47"/>
    </row>
    <row r="47" spans="1:12" x14ac:dyDescent="0.25">
      <c r="A47" s="84">
        <f>Budget!A15</f>
        <v>6800</v>
      </c>
      <c r="B47" s="153" t="str">
        <f>Budget!B15</f>
        <v>Amortissement actifs</v>
      </c>
      <c r="C47" s="84">
        <f>Budget!C15</f>
        <v>0</v>
      </c>
      <c r="D47" s="84">
        <f>Budget!D15</f>
        <v>3600</v>
      </c>
      <c r="E47" s="153" t="str">
        <f>Budget!E15</f>
        <v>Cotisations payés par les membres</v>
      </c>
      <c r="F47" s="84">
        <f>Budget!F15</f>
        <v>0</v>
      </c>
      <c r="G47" s="47"/>
      <c r="H47" s="47"/>
      <c r="I47" s="47"/>
      <c r="J47" s="47"/>
      <c r="K47" s="47"/>
      <c r="L47" s="47"/>
    </row>
    <row r="48" spans="1:12" x14ac:dyDescent="0.25">
      <c r="A48" s="84">
        <f>Budget!A16</f>
        <v>6900</v>
      </c>
      <c r="B48" s="153" t="str">
        <f>Budget!B16</f>
        <v>Frais  et charges financiers</v>
      </c>
      <c r="C48" s="84">
        <f>Budget!C16</f>
        <v>0</v>
      </c>
      <c r="D48" s="84">
        <f>Budget!D16</f>
        <v>3630</v>
      </c>
      <c r="E48" s="153" t="str">
        <f>Budget!E16</f>
        <v>Dons et legs obtenues / boni de caisse</v>
      </c>
      <c r="F48" s="84">
        <f>Budget!F16</f>
        <v>0</v>
      </c>
    </row>
    <row r="49" spans="1:6" x14ac:dyDescent="0.25">
      <c r="A49" s="84">
        <f>Budget!A17</f>
        <v>9000</v>
      </c>
      <c r="B49" s="153" t="str">
        <f>Budget!B17</f>
        <v>Résultat avant affectation</v>
      </c>
      <c r="C49" s="84">
        <f>Budget!C17</f>
        <v>0</v>
      </c>
      <c r="D49" s="84">
        <f>Budget!D17</f>
        <v>6950</v>
      </c>
      <c r="E49" s="153" t="str">
        <f>Budget!E17</f>
        <v>Intérêts bancaires produits</v>
      </c>
      <c r="F49" s="84">
        <f>Budget!F17</f>
        <v>0</v>
      </c>
    </row>
    <row r="50" spans="1:6" ht="15.75" x14ac:dyDescent="0.25">
      <c r="A50" s="85"/>
      <c r="B50" s="85" t="str">
        <f>Budget!B18</f>
        <v>Total</v>
      </c>
      <c r="C50" s="85">
        <f>Budget!C18</f>
        <v>0</v>
      </c>
      <c r="D50" s="85"/>
      <c r="E50" s="85" t="str">
        <f>Budget!E18</f>
        <v>Total</v>
      </c>
      <c r="F50" s="85">
        <f>Budget!F18</f>
        <v>0</v>
      </c>
    </row>
    <row r="55" spans="1:6" ht="25.5" x14ac:dyDescent="0.35">
      <c r="A55" s="220" t="s">
        <v>61</v>
      </c>
      <c r="B55" s="221"/>
      <c r="C55" s="221"/>
      <c r="D55" s="221"/>
      <c r="E55" s="221"/>
      <c r="F55" s="221"/>
    </row>
    <row r="56" spans="1:6" ht="15.75" x14ac:dyDescent="0.25">
      <c r="A56" s="90" t="str">
        <f>Journal!A3</f>
        <v>Dates</v>
      </c>
      <c r="B56" s="90" t="str">
        <f>Journal!B3</f>
        <v>Libellés</v>
      </c>
      <c r="C56" s="90" t="str">
        <f>Journal!C3</f>
        <v>Compte débité</v>
      </c>
      <c r="D56" s="90"/>
      <c r="E56" s="90" t="str">
        <f>Journal!D3</f>
        <v>Compte crédité</v>
      </c>
      <c r="F56" s="90" t="str">
        <f>Journal!E3</f>
        <v>Montants</v>
      </c>
    </row>
    <row r="57" spans="1:6" x14ac:dyDescent="0.25">
      <c r="A57" s="50">
        <f>Journal!A4</f>
        <v>44926</v>
      </c>
      <c r="B57" s="50" t="str">
        <f>Journal!B4</f>
        <v>Benevole</v>
      </c>
      <c r="C57" s="50">
        <f>Journal!C4</f>
        <v>618000</v>
      </c>
      <c r="D57" s="50"/>
      <c r="E57" s="50">
        <f>Journal!D4</f>
        <v>0</v>
      </c>
      <c r="F57" s="50">
        <f>Journal!E4</f>
        <v>0</v>
      </c>
    </row>
    <row r="58" spans="1:6" x14ac:dyDescent="0.25">
      <c r="A58" s="50">
        <f>Journal!A5</f>
        <v>44926</v>
      </c>
      <c r="B58" s="50" t="str">
        <f>Journal!B5</f>
        <v>Loyer</v>
      </c>
      <c r="C58" s="50">
        <f>Journal!C5</f>
        <v>611000</v>
      </c>
      <c r="D58" s="50"/>
      <c r="E58" s="50">
        <f>Journal!D5</f>
        <v>0</v>
      </c>
      <c r="F58" s="50">
        <f>Journal!E5</f>
        <v>7167.5</v>
      </c>
    </row>
    <row r="59" spans="1:6" x14ac:dyDescent="0.25">
      <c r="A59" s="50">
        <f>Journal!A6</f>
        <v>44926</v>
      </c>
      <c r="B59" s="50" t="str">
        <f>Journal!B6</f>
        <v>Electrabel</v>
      </c>
      <c r="C59" s="50">
        <f>Journal!C6</f>
        <v>611100</v>
      </c>
      <c r="D59" s="50"/>
      <c r="E59" s="50">
        <f>Journal!D6</f>
        <v>0</v>
      </c>
      <c r="F59" s="50">
        <f>Journal!E6</f>
        <v>0</v>
      </c>
    </row>
    <row r="60" spans="1:6" x14ac:dyDescent="0.25">
      <c r="A60" s="50">
        <f>Journal!A7</f>
        <v>44926</v>
      </c>
      <c r="B60" s="50" t="str">
        <f>Journal!B7</f>
        <v>banque</v>
      </c>
      <c r="C60" s="50">
        <f>Journal!C7</f>
        <v>657000</v>
      </c>
      <c r="D60" s="50"/>
      <c r="E60" s="50">
        <f>Journal!D7</f>
        <v>0</v>
      </c>
      <c r="F60" s="50">
        <f>Journal!E7</f>
        <v>77.319999999999993</v>
      </c>
    </row>
    <row r="61" spans="1:6" x14ac:dyDescent="0.25">
      <c r="A61" s="50">
        <f>Journal!A8</f>
        <v>44926</v>
      </c>
      <c r="B61" s="50" t="str">
        <f>Journal!B8</f>
        <v xml:space="preserve">Rentrer </v>
      </c>
      <c r="C61" s="50">
        <f>Journal!C8</f>
        <v>0</v>
      </c>
      <c r="D61" s="50"/>
      <c r="E61" s="50">
        <f>Journal!D8</f>
        <v>700000</v>
      </c>
      <c r="F61" s="50">
        <f>Journal!E8</f>
        <v>54538.5</v>
      </c>
    </row>
    <row r="62" spans="1:6" x14ac:dyDescent="0.25">
      <c r="A62" s="50">
        <f>Journal!A9</f>
        <v>44926</v>
      </c>
      <c r="B62" s="50" t="str">
        <f>Journal!B9</f>
        <v>Charges divers</v>
      </c>
      <c r="C62" s="50">
        <f>Journal!C9</f>
        <v>611200</v>
      </c>
      <c r="D62" s="50"/>
      <c r="E62" s="50">
        <f>Journal!D9</f>
        <v>0</v>
      </c>
      <c r="F62" s="50">
        <f>Journal!E9</f>
        <v>54310.310000000012</v>
      </c>
    </row>
    <row r="63" spans="1:6" x14ac:dyDescent="0.25">
      <c r="A63" s="50">
        <f>Journal!A10</f>
        <v>44926</v>
      </c>
      <c r="B63" s="50" t="str">
        <f>Journal!B10</f>
        <v>Assurance</v>
      </c>
      <c r="C63" s="50">
        <f>Journal!C10</f>
        <v>614000</v>
      </c>
      <c r="D63" s="50"/>
      <c r="E63" s="50">
        <f>Journal!D10</f>
        <v>0</v>
      </c>
      <c r="F63" s="50">
        <f>Journal!E10</f>
        <v>0</v>
      </c>
    </row>
    <row r="64" spans="1:6" x14ac:dyDescent="0.25">
      <c r="A64" s="50">
        <f>Journal!A11</f>
        <v>44926</v>
      </c>
      <c r="B64" s="50" t="str">
        <f>Journal!B11</f>
        <v>ONSS</v>
      </c>
      <c r="C64" s="50">
        <f>Journal!C11</f>
        <v>454000</v>
      </c>
      <c r="D64" s="50"/>
      <c r="E64" s="50">
        <f>Journal!D11</f>
        <v>0</v>
      </c>
      <c r="F64" s="50">
        <f>Journal!E11</f>
        <v>0</v>
      </c>
    </row>
    <row r="65" spans="1:6" x14ac:dyDescent="0.25">
      <c r="A65" s="50">
        <f>Journal!A12</f>
        <v>44926</v>
      </c>
      <c r="B65" s="50" t="str">
        <f>Journal!B12</f>
        <v xml:space="preserve">salaire </v>
      </c>
      <c r="C65" s="50">
        <f>Journal!C12</f>
        <v>621000</v>
      </c>
      <c r="D65" s="50"/>
      <c r="E65" s="50">
        <f>Journal!D12</f>
        <v>0</v>
      </c>
      <c r="F65" s="50">
        <f>Journal!E12</f>
        <v>8000.3</v>
      </c>
    </row>
    <row r="66" spans="1:6" x14ac:dyDescent="0.25">
      <c r="A66" s="50">
        <f>Journal!A13</f>
        <v>44926</v>
      </c>
      <c r="B66" s="50" t="str">
        <f>Journal!B13</f>
        <v>Charges divers</v>
      </c>
      <c r="C66" s="50">
        <f>Journal!C13</f>
        <v>611200</v>
      </c>
      <c r="D66" s="50"/>
      <c r="E66" s="50">
        <f>Journal!D13</f>
        <v>0</v>
      </c>
      <c r="F66" s="50">
        <f>Journal!E13</f>
        <v>5378.369999999999</v>
      </c>
    </row>
    <row r="67" spans="1:6" x14ac:dyDescent="0.25">
      <c r="A67" s="50">
        <f>Journal!A14</f>
        <v>44926</v>
      </c>
      <c r="B67" s="50" t="str">
        <f>Journal!B14</f>
        <v xml:space="preserve">Rentrer </v>
      </c>
      <c r="C67" s="50">
        <f>Journal!C14</f>
        <v>0</v>
      </c>
      <c r="D67" s="50"/>
      <c r="E67" s="50">
        <f>Journal!D14</f>
        <v>700000</v>
      </c>
      <c r="F67" s="50">
        <f>Journal!E14</f>
        <v>20251</v>
      </c>
    </row>
    <row r="68" spans="1:6" x14ac:dyDescent="0.25">
      <c r="A68" s="50">
        <f>Journal!A15</f>
        <v>44926</v>
      </c>
      <c r="B68" s="50">
        <f>Journal!B15</f>
        <v>0</v>
      </c>
      <c r="C68" s="50">
        <f>Journal!C15</f>
        <v>0</v>
      </c>
      <c r="D68" s="50"/>
      <c r="E68" s="50">
        <f>Journal!D15</f>
        <v>0</v>
      </c>
      <c r="F68" s="50">
        <f>Journal!E15</f>
        <v>0</v>
      </c>
    </row>
    <row r="69" spans="1:6" x14ac:dyDescent="0.25">
      <c r="A69" s="50">
        <f>Journal!A16</f>
        <v>44926</v>
      </c>
      <c r="B69" s="50">
        <f>Journal!B16</f>
        <v>0</v>
      </c>
      <c r="C69" s="50">
        <f>Journal!C16</f>
        <v>0</v>
      </c>
      <c r="D69" s="50"/>
      <c r="E69" s="50">
        <f>Journal!D16</f>
        <v>0</v>
      </c>
      <c r="F69" s="50">
        <f>Journal!E16</f>
        <v>0</v>
      </c>
    </row>
    <row r="70" spans="1:6" x14ac:dyDescent="0.25">
      <c r="A70" s="50">
        <f>Journal!A17</f>
        <v>0</v>
      </c>
      <c r="B70" s="50">
        <f>Journal!B17</f>
        <v>0</v>
      </c>
      <c r="C70" s="50">
        <f>Journal!C17</f>
        <v>0</v>
      </c>
      <c r="D70" s="50"/>
      <c r="E70" s="50">
        <f>Journal!D17</f>
        <v>0</v>
      </c>
      <c r="F70" s="50">
        <f>Journal!E17</f>
        <v>0</v>
      </c>
    </row>
    <row r="71" spans="1:6" x14ac:dyDescent="0.25">
      <c r="A71" s="50">
        <f>Journal!A18</f>
        <v>0</v>
      </c>
      <c r="B71" s="50">
        <f>Journal!B18</f>
        <v>0</v>
      </c>
      <c r="C71" s="50">
        <f>Journal!C18</f>
        <v>0</v>
      </c>
      <c r="D71" s="50"/>
      <c r="E71" s="50">
        <f>Journal!D18</f>
        <v>0</v>
      </c>
      <c r="F71" s="50">
        <f>Journal!E18</f>
        <v>74789.5</v>
      </c>
    </row>
    <row r="72" spans="1:6" x14ac:dyDescent="0.25">
      <c r="A72" s="50">
        <f>Journal!A19</f>
        <v>0</v>
      </c>
      <c r="B72" s="50">
        <f>Journal!B19</f>
        <v>0</v>
      </c>
      <c r="C72" s="50">
        <f>Journal!C19</f>
        <v>0</v>
      </c>
      <c r="D72" s="50"/>
      <c r="E72" s="50">
        <f>Journal!D19</f>
        <v>0</v>
      </c>
      <c r="F72" s="50">
        <f>Journal!E19</f>
        <v>0</v>
      </c>
    </row>
    <row r="73" spans="1:6" x14ac:dyDescent="0.25">
      <c r="A73" s="50">
        <f>Journal!A20</f>
        <v>0</v>
      </c>
      <c r="B73" s="50">
        <f>Journal!B20</f>
        <v>0</v>
      </c>
      <c r="C73" s="50">
        <f>Journal!C20</f>
        <v>0</v>
      </c>
      <c r="D73" s="50"/>
      <c r="E73" s="50">
        <f>Journal!D20</f>
        <v>0</v>
      </c>
      <c r="F73" s="50">
        <f>Journal!E20</f>
        <v>0</v>
      </c>
    </row>
    <row r="74" spans="1:6" x14ac:dyDescent="0.25">
      <c r="A74" s="50">
        <f>Journal!A21</f>
        <v>0</v>
      </c>
      <c r="B74" s="50">
        <f>Journal!B21</f>
        <v>0</v>
      </c>
      <c r="C74" s="50">
        <f>Journal!C21</f>
        <v>0</v>
      </c>
      <c r="D74" s="50"/>
      <c r="E74" s="50">
        <f>Journal!D21</f>
        <v>0</v>
      </c>
      <c r="F74" s="50">
        <f>Journal!E21</f>
        <v>0</v>
      </c>
    </row>
    <row r="75" spans="1:6" x14ac:dyDescent="0.25">
      <c r="A75" s="50">
        <f>Journal!A22</f>
        <v>0</v>
      </c>
      <c r="B75" s="50">
        <f>Journal!B22</f>
        <v>0</v>
      </c>
      <c r="C75" s="50">
        <f>Journal!C22</f>
        <v>0</v>
      </c>
      <c r="D75" s="50"/>
      <c r="E75" s="50">
        <f>Journal!D22</f>
        <v>0</v>
      </c>
      <c r="F75" s="50">
        <f>Journal!E22</f>
        <v>0</v>
      </c>
    </row>
    <row r="76" spans="1:6" x14ac:dyDescent="0.25">
      <c r="A76" s="50">
        <f>Journal!A23</f>
        <v>0</v>
      </c>
      <c r="B76" s="50">
        <f>Journal!B23</f>
        <v>0</v>
      </c>
      <c r="C76" s="50">
        <f>Journal!C23</f>
        <v>0</v>
      </c>
      <c r="D76" s="50"/>
      <c r="E76" s="50">
        <f>Journal!D23</f>
        <v>0</v>
      </c>
      <c r="F76" s="50">
        <f>Journal!E23</f>
        <v>0</v>
      </c>
    </row>
    <row r="77" spans="1:6" x14ac:dyDescent="0.25">
      <c r="A77" s="50">
        <f>Journal!A24</f>
        <v>0</v>
      </c>
      <c r="B77" s="50">
        <f>Journal!B24</f>
        <v>0</v>
      </c>
      <c r="C77" s="50">
        <f>Journal!C24</f>
        <v>0</v>
      </c>
      <c r="D77" s="50"/>
      <c r="E77" s="50">
        <f>Journal!D24</f>
        <v>0</v>
      </c>
      <c r="F77" s="50">
        <f>Journal!E24</f>
        <v>0</v>
      </c>
    </row>
    <row r="78" spans="1:6" x14ac:dyDescent="0.25">
      <c r="A78" s="50">
        <f>Journal!A25</f>
        <v>0</v>
      </c>
      <c r="B78" s="50">
        <f>Journal!B25</f>
        <v>0</v>
      </c>
      <c r="C78" s="50">
        <f>Journal!C25</f>
        <v>0</v>
      </c>
      <c r="D78" s="50"/>
      <c r="E78" s="50">
        <f>Journal!D25</f>
        <v>0</v>
      </c>
      <c r="F78" s="50">
        <f>Journal!E25</f>
        <v>0</v>
      </c>
    </row>
    <row r="79" spans="1:6" x14ac:dyDescent="0.25">
      <c r="A79" s="50">
        <f>Journal!A26</f>
        <v>0</v>
      </c>
      <c r="B79" s="50">
        <f>Journal!B26</f>
        <v>0</v>
      </c>
      <c r="C79" s="50">
        <f>Journal!C26</f>
        <v>0</v>
      </c>
      <c r="D79" s="50"/>
      <c r="E79" s="50">
        <f>Journal!D26</f>
        <v>0</v>
      </c>
      <c r="F79" s="50">
        <f>Journal!E26</f>
        <v>0</v>
      </c>
    </row>
    <row r="80" spans="1:6" x14ac:dyDescent="0.25">
      <c r="A80" s="50">
        <f>Journal!A27</f>
        <v>0</v>
      </c>
      <c r="B80" s="50">
        <f>Journal!B27</f>
        <v>0</v>
      </c>
      <c r="C80" s="50">
        <f>Journal!C27</f>
        <v>0</v>
      </c>
      <c r="D80" s="50"/>
      <c r="E80" s="50">
        <f>Journal!D27</f>
        <v>0</v>
      </c>
      <c r="F80" s="50">
        <f>Journal!E27</f>
        <v>0</v>
      </c>
    </row>
    <row r="81" spans="1:6" x14ac:dyDescent="0.25">
      <c r="A81" s="50">
        <f>Journal!A28</f>
        <v>0</v>
      </c>
      <c r="B81" s="50">
        <f>Journal!B28</f>
        <v>0</v>
      </c>
      <c r="C81" s="50">
        <f>Journal!C28</f>
        <v>0</v>
      </c>
      <c r="D81" s="50"/>
      <c r="E81" s="50">
        <f>Journal!D28</f>
        <v>0</v>
      </c>
      <c r="F81" s="50">
        <f>Journal!E28</f>
        <v>0</v>
      </c>
    </row>
    <row r="82" spans="1:6" x14ac:dyDescent="0.25">
      <c r="A82" s="50">
        <f>Journal!A29</f>
        <v>0</v>
      </c>
      <c r="B82" s="50">
        <f>Journal!B29</f>
        <v>0</v>
      </c>
      <c r="C82" s="50">
        <f>Journal!C29</f>
        <v>0</v>
      </c>
      <c r="D82" s="50"/>
      <c r="E82" s="50">
        <f>Journal!D29</f>
        <v>0</v>
      </c>
      <c r="F82" s="50">
        <f>Journal!E29</f>
        <v>0</v>
      </c>
    </row>
    <row r="83" spans="1:6" x14ac:dyDescent="0.25">
      <c r="A83" s="50">
        <f>Journal!A30</f>
        <v>0</v>
      </c>
      <c r="B83" s="50">
        <f>Journal!B30</f>
        <v>0</v>
      </c>
      <c r="C83" s="50">
        <f>Journal!C30</f>
        <v>0</v>
      </c>
      <c r="D83" s="50"/>
      <c r="E83" s="50">
        <f>Journal!D30</f>
        <v>0</v>
      </c>
      <c r="F83" s="50">
        <f>Journal!E30</f>
        <v>0</v>
      </c>
    </row>
    <row r="84" spans="1:6" x14ac:dyDescent="0.25">
      <c r="A84" s="50">
        <f>Journal!A31</f>
        <v>0</v>
      </c>
      <c r="B84" s="50">
        <f>Journal!B31</f>
        <v>0</v>
      </c>
      <c r="C84" s="50">
        <f>Journal!C31</f>
        <v>0</v>
      </c>
      <c r="D84" s="50"/>
      <c r="E84" s="50">
        <f>Journal!D31</f>
        <v>0</v>
      </c>
      <c r="F84" s="50">
        <f>Journal!E31</f>
        <v>0</v>
      </c>
    </row>
    <row r="85" spans="1:6" x14ac:dyDescent="0.25">
      <c r="A85" s="50">
        <f>Journal!A32</f>
        <v>0</v>
      </c>
      <c r="B85" s="50">
        <f>Journal!B32</f>
        <v>0</v>
      </c>
      <c r="C85" s="50">
        <f>Journal!C32</f>
        <v>0</v>
      </c>
      <c r="D85" s="50"/>
      <c r="E85" s="50">
        <f>Journal!D32</f>
        <v>0</v>
      </c>
      <c r="F85" s="50">
        <f>Journal!E32</f>
        <v>0</v>
      </c>
    </row>
    <row r="86" spans="1:6" x14ac:dyDescent="0.25">
      <c r="A86" s="50">
        <f>Journal!A33</f>
        <v>0</v>
      </c>
      <c r="B86" s="50">
        <f>Journal!B33</f>
        <v>0</v>
      </c>
      <c r="C86" s="50">
        <f>Journal!C33</f>
        <v>0</v>
      </c>
      <c r="D86" s="50"/>
      <c r="E86" s="50">
        <f>Journal!D33</f>
        <v>0</v>
      </c>
      <c r="F86" s="50">
        <f>Journal!E33</f>
        <v>0</v>
      </c>
    </row>
    <row r="87" spans="1:6" x14ac:dyDescent="0.25">
      <c r="A87" s="50">
        <f>Journal!A34</f>
        <v>0</v>
      </c>
      <c r="B87" s="50">
        <f>Journal!B34</f>
        <v>0</v>
      </c>
      <c r="C87" s="50">
        <f>Journal!C34</f>
        <v>0</v>
      </c>
      <c r="D87" s="50"/>
      <c r="E87" s="50">
        <f>Journal!D34</f>
        <v>0</v>
      </c>
      <c r="F87" s="50">
        <f>Journal!E34</f>
        <v>0</v>
      </c>
    </row>
    <row r="88" spans="1:6" x14ac:dyDescent="0.25">
      <c r="A88" s="50">
        <f>Journal!A35</f>
        <v>0</v>
      </c>
      <c r="B88" s="50">
        <f>Journal!B35</f>
        <v>0</v>
      </c>
      <c r="C88" s="50">
        <f>Journal!C35</f>
        <v>0</v>
      </c>
      <c r="D88" s="50"/>
      <c r="E88" s="50">
        <f>Journal!D35</f>
        <v>0</v>
      </c>
      <c r="F88" s="50">
        <f>Journal!E35</f>
        <v>0</v>
      </c>
    </row>
    <row r="89" spans="1:6" x14ac:dyDescent="0.25">
      <c r="A89" s="50">
        <f>Journal!A36</f>
        <v>0</v>
      </c>
      <c r="B89" s="50">
        <f>Journal!B36</f>
        <v>0</v>
      </c>
      <c r="C89" s="50">
        <f>Journal!C36</f>
        <v>0</v>
      </c>
      <c r="D89" s="50"/>
      <c r="E89" s="50">
        <f>Journal!D36</f>
        <v>0</v>
      </c>
      <c r="F89" s="50">
        <f>Journal!E36</f>
        <v>0</v>
      </c>
    </row>
    <row r="90" spans="1:6" x14ac:dyDescent="0.25">
      <c r="A90" s="50">
        <f>Journal!A37</f>
        <v>0</v>
      </c>
      <c r="B90" s="50">
        <f>Journal!B37</f>
        <v>0</v>
      </c>
      <c r="C90" s="50">
        <f>Journal!C37</f>
        <v>0</v>
      </c>
      <c r="D90" s="50"/>
      <c r="E90" s="50">
        <f>Journal!D37</f>
        <v>0</v>
      </c>
      <c r="F90" s="50">
        <f>Journal!E37</f>
        <v>0</v>
      </c>
    </row>
    <row r="91" spans="1:6" x14ac:dyDescent="0.25">
      <c r="A91" s="50">
        <f>Journal!A38</f>
        <v>0</v>
      </c>
      <c r="B91" s="50">
        <f>Journal!B38</f>
        <v>0</v>
      </c>
      <c r="C91" s="50">
        <f>Journal!C38</f>
        <v>0</v>
      </c>
      <c r="D91" s="50"/>
      <c r="E91" s="50">
        <f>Journal!D38</f>
        <v>0</v>
      </c>
      <c r="F91" s="50">
        <f>Journal!E38</f>
        <v>0</v>
      </c>
    </row>
    <row r="92" spans="1:6" x14ac:dyDescent="0.25">
      <c r="A92" s="50">
        <f>Journal!A39</f>
        <v>0</v>
      </c>
      <c r="B92" s="50">
        <f>Journal!B39</f>
        <v>0</v>
      </c>
      <c r="C92" s="50">
        <f>Journal!C39</f>
        <v>0</v>
      </c>
      <c r="D92" s="50"/>
      <c r="E92" s="50">
        <f>Journal!D39</f>
        <v>0</v>
      </c>
      <c r="F92" s="50">
        <f>Journal!E39</f>
        <v>0</v>
      </c>
    </row>
    <row r="93" spans="1:6" x14ac:dyDescent="0.25">
      <c r="A93" s="50">
        <f>Journal!A40</f>
        <v>0</v>
      </c>
      <c r="B93" s="50">
        <f>Journal!B40</f>
        <v>0</v>
      </c>
      <c r="C93" s="50">
        <f>Journal!C40</f>
        <v>0</v>
      </c>
      <c r="D93" s="50"/>
      <c r="E93" s="50">
        <f>Journal!D40</f>
        <v>0</v>
      </c>
      <c r="F93" s="50">
        <f>Journal!E40</f>
        <v>0</v>
      </c>
    </row>
    <row r="94" spans="1:6" x14ac:dyDescent="0.25">
      <c r="A94" s="50">
        <f>Journal!A41</f>
        <v>0</v>
      </c>
      <c r="B94" s="50">
        <f>Journal!B41</f>
        <v>0</v>
      </c>
      <c r="C94" s="50">
        <f>Journal!C41</f>
        <v>0</v>
      </c>
      <c r="D94" s="50"/>
      <c r="E94" s="50">
        <f>Journal!D41</f>
        <v>0</v>
      </c>
      <c r="F94" s="50">
        <f>Journal!E41</f>
        <v>0</v>
      </c>
    </row>
    <row r="95" spans="1:6" x14ac:dyDescent="0.25">
      <c r="A95" s="50">
        <f>Journal!A42</f>
        <v>0</v>
      </c>
      <c r="B95" s="50">
        <f>Journal!B42</f>
        <v>0</v>
      </c>
      <c r="C95" s="50">
        <f>Journal!C42</f>
        <v>0</v>
      </c>
      <c r="D95" s="50"/>
      <c r="E95" s="50">
        <f>Journal!D42</f>
        <v>0</v>
      </c>
      <c r="F95" s="50">
        <f>Journal!E42</f>
        <v>0</v>
      </c>
    </row>
    <row r="96" spans="1:6" x14ac:dyDescent="0.25">
      <c r="A96" s="50">
        <f>Journal!A43</f>
        <v>0</v>
      </c>
      <c r="B96" s="50">
        <f>Journal!B43</f>
        <v>0</v>
      </c>
      <c r="C96" s="50">
        <f>Journal!C43</f>
        <v>0</v>
      </c>
      <c r="D96" s="50"/>
      <c r="E96" s="50">
        <f>Journal!D43</f>
        <v>0</v>
      </c>
      <c r="F96" s="50">
        <f>Journal!E43</f>
        <v>0</v>
      </c>
    </row>
    <row r="97" spans="1:6" x14ac:dyDescent="0.25">
      <c r="A97" s="50">
        <f>Journal!A44</f>
        <v>0</v>
      </c>
      <c r="B97" s="50">
        <f>Journal!B44</f>
        <v>0</v>
      </c>
      <c r="C97" s="50">
        <f>Journal!C44</f>
        <v>0</v>
      </c>
      <c r="D97" s="50"/>
      <c r="E97" s="50">
        <f>Journal!D44</f>
        <v>0</v>
      </c>
      <c r="F97" s="50">
        <f>Journal!E44</f>
        <v>0</v>
      </c>
    </row>
    <row r="98" spans="1:6" x14ac:dyDescent="0.25">
      <c r="A98" s="50">
        <f>Journal!A45</f>
        <v>0</v>
      </c>
      <c r="B98" s="50">
        <f>Journal!B45</f>
        <v>0</v>
      </c>
      <c r="C98" s="50">
        <f>Journal!C45</f>
        <v>0</v>
      </c>
      <c r="D98" s="50"/>
      <c r="E98" s="50">
        <f>Journal!D45</f>
        <v>0</v>
      </c>
      <c r="F98" s="50">
        <f>Journal!E45</f>
        <v>0</v>
      </c>
    </row>
    <row r="99" spans="1:6" x14ac:dyDescent="0.25">
      <c r="A99" s="50">
        <f>Journal!A46</f>
        <v>0</v>
      </c>
      <c r="B99" s="50">
        <f>Journal!B46</f>
        <v>0</v>
      </c>
      <c r="C99" s="50">
        <f>Journal!C46</f>
        <v>0</v>
      </c>
      <c r="D99" s="50"/>
      <c r="E99" s="50">
        <f>Journal!D46</f>
        <v>0</v>
      </c>
      <c r="F99" s="50">
        <f>Journal!E46</f>
        <v>0</v>
      </c>
    </row>
    <row r="100" spans="1:6" x14ac:dyDescent="0.25">
      <c r="A100" s="50">
        <f>Journal!A47</f>
        <v>0</v>
      </c>
      <c r="B100" s="50">
        <f>Journal!B47</f>
        <v>0</v>
      </c>
      <c r="C100" s="50">
        <f>Journal!C47</f>
        <v>0</v>
      </c>
      <c r="D100" s="50"/>
      <c r="E100" s="50">
        <f>Journal!D47</f>
        <v>0</v>
      </c>
      <c r="F100" s="50">
        <f>Journal!E47</f>
        <v>0</v>
      </c>
    </row>
    <row r="101" spans="1:6" x14ac:dyDescent="0.25">
      <c r="A101" s="50">
        <f>Journal!A48</f>
        <v>0</v>
      </c>
      <c r="B101" s="50">
        <f>Journal!B48</f>
        <v>0</v>
      </c>
      <c r="C101" s="50">
        <f>Journal!C48</f>
        <v>0</v>
      </c>
      <c r="D101" s="50"/>
      <c r="E101" s="50">
        <f>Journal!D48</f>
        <v>0</v>
      </c>
      <c r="F101" s="50">
        <f>Journal!E48</f>
        <v>0</v>
      </c>
    </row>
    <row r="102" spans="1:6" x14ac:dyDescent="0.25">
      <c r="A102" s="50">
        <f>Journal!A49</f>
        <v>0</v>
      </c>
      <c r="B102" s="50">
        <f>Journal!B49</f>
        <v>0</v>
      </c>
      <c r="C102" s="50">
        <f>Journal!C49</f>
        <v>0</v>
      </c>
      <c r="D102" s="50"/>
      <c r="E102" s="50">
        <f>Journal!D49</f>
        <v>0</v>
      </c>
      <c r="F102" s="50">
        <f>Journal!E49</f>
        <v>0</v>
      </c>
    </row>
    <row r="103" spans="1:6" x14ac:dyDescent="0.25">
      <c r="A103" s="50">
        <f>Journal!A50</f>
        <v>0</v>
      </c>
      <c r="B103" s="50">
        <f>Journal!B50</f>
        <v>0</v>
      </c>
      <c r="C103" s="50">
        <f>Journal!C50</f>
        <v>0</v>
      </c>
      <c r="D103" s="50"/>
      <c r="E103" s="50">
        <f>Journal!D50</f>
        <v>0</v>
      </c>
      <c r="F103" s="50">
        <f>Journal!E50</f>
        <v>0</v>
      </c>
    </row>
    <row r="104" spans="1:6" x14ac:dyDescent="0.25">
      <c r="A104" s="50">
        <f>Journal!A51</f>
        <v>0</v>
      </c>
      <c r="B104" s="50">
        <f>Journal!B51</f>
        <v>0</v>
      </c>
      <c r="C104" s="50">
        <f>Journal!C51</f>
        <v>0</v>
      </c>
      <c r="D104" s="50"/>
      <c r="E104" s="50">
        <f>Journal!D51</f>
        <v>0</v>
      </c>
      <c r="F104" s="50">
        <f>Journal!E51</f>
        <v>0</v>
      </c>
    </row>
    <row r="105" spans="1:6" x14ac:dyDescent="0.25">
      <c r="A105" s="50">
        <f>Journal!A52</f>
        <v>0</v>
      </c>
      <c r="B105" s="50">
        <f>Journal!B52</f>
        <v>0</v>
      </c>
      <c r="C105" s="50">
        <f>Journal!C52</f>
        <v>0</v>
      </c>
      <c r="D105" s="50"/>
      <c r="E105" s="50">
        <f>Journal!D52</f>
        <v>0</v>
      </c>
      <c r="F105" s="50">
        <f>Journal!E52</f>
        <v>0</v>
      </c>
    </row>
    <row r="106" spans="1:6" x14ac:dyDescent="0.25">
      <c r="A106" s="50">
        <f>Journal!A53</f>
        <v>0</v>
      </c>
      <c r="B106" s="50">
        <f>Journal!B53</f>
        <v>0</v>
      </c>
      <c r="C106" s="50">
        <f>Journal!C53</f>
        <v>0</v>
      </c>
      <c r="D106" s="50"/>
      <c r="E106" s="50">
        <f>Journal!D53</f>
        <v>0</v>
      </c>
      <c r="F106" s="50">
        <f>Journal!E53</f>
        <v>0</v>
      </c>
    </row>
    <row r="107" spans="1:6" x14ac:dyDescent="0.25">
      <c r="A107" s="50">
        <f>Journal!A54</f>
        <v>0</v>
      </c>
      <c r="B107" s="50">
        <f>Journal!B54</f>
        <v>0</v>
      </c>
      <c r="C107" s="50">
        <f>Journal!C54</f>
        <v>0</v>
      </c>
      <c r="D107" s="50"/>
      <c r="E107" s="50">
        <f>Journal!D54</f>
        <v>0</v>
      </c>
      <c r="F107" s="50">
        <f>Journal!E54</f>
        <v>0</v>
      </c>
    </row>
    <row r="108" spans="1:6" x14ac:dyDescent="0.25">
      <c r="A108" s="50">
        <f>Journal!A55</f>
        <v>0</v>
      </c>
      <c r="B108" s="50">
        <f>Journal!B55</f>
        <v>0</v>
      </c>
      <c r="C108" s="50">
        <f>Journal!C55</f>
        <v>0</v>
      </c>
      <c r="D108" s="50"/>
      <c r="E108" s="50">
        <f>Journal!D55</f>
        <v>0</v>
      </c>
      <c r="F108" s="50">
        <f>Journal!E55</f>
        <v>0</v>
      </c>
    </row>
  </sheetData>
  <mergeCells count="4">
    <mergeCell ref="A14:F15"/>
    <mergeCell ref="A1:F1"/>
    <mergeCell ref="B33:F34"/>
    <mergeCell ref="A55:F55"/>
  </mergeCells>
  <pageMargins left="0.70866141732283472" right="0.70866141732283472"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82" r:id="rId4" name="Button 2">
              <controlPr defaultSize="0" print="0" autoFill="0" autoPict="0" macro="[0]!Imprimer_Bouton2_Cliquer">
                <anchor moveWithCells="1" sizeWithCells="1">
                  <from>
                    <xdr:col>9</xdr:col>
                    <xdr:colOff>47625</xdr:colOff>
                    <xdr:row>1</xdr:row>
                    <xdr:rowOff>19050</xdr:rowOff>
                  </from>
                  <to>
                    <xdr:col>11</xdr:col>
                    <xdr:colOff>47625</xdr:colOff>
                    <xdr:row>2</xdr:row>
                    <xdr:rowOff>66675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dimension ref="A1:H23"/>
  <sheetViews>
    <sheetView workbookViewId="0">
      <selection activeCell="K12" sqref="K12"/>
    </sheetView>
  </sheetViews>
  <sheetFormatPr baseColWidth="10" defaultRowHeight="15" x14ac:dyDescent="0.25"/>
  <cols>
    <col min="1" max="1" width="30.85546875" customWidth="1"/>
    <col min="2" max="2" width="26.140625" customWidth="1"/>
    <col min="3" max="3" width="17.85546875" customWidth="1"/>
    <col min="4" max="4" width="16.7109375" style="42" customWidth="1"/>
    <col min="5" max="5" width="14.7109375" customWidth="1"/>
    <col min="6" max="6" width="15.85546875" customWidth="1"/>
    <col min="7" max="7" width="19.42578125" customWidth="1"/>
    <col min="8" max="8" width="17.28515625" customWidth="1"/>
  </cols>
  <sheetData>
    <row r="1" spans="1:8" ht="42" customHeight="1" x14ac:dyDescent="0.25">
      <c r="A1" s="222" t="s">
        <v>67</v>
      </c>
      <c r="B1" s="222"/>
      <c r="C1" s="222"/>
      <c r="D1" s="222"/>
      <c r="E1" s="222"/>
      <c r="F1" s="222"/>
      <c r="G1" s="222"/>
      <c r="H1" s="222"/>
    </row>
    <row r="2" spans="1:8" x14ac:dyDescent="0.25">
      <c r="A2" s="40" t="s">
        <v>30</v>
      </c>
      <c r="B2" s="40" t="s">
        <v>31</v>
      </c>
      <c r="C2" s="40" t="s">
        <v>35</v>
      </c>
      <c r="D2" s="41" t="s">
        <v>10</v>
      </c>
      <c r="E2" s="40" t="s">
        <v>32</v>
      </c>
      <c r="F2" s="40" t="s">
        <v>34</v>
      </c>
      <c r="G2" s="40" t="s">
        <v>33</v>
      </c>
      <c r="H2" s="40" t="s">
        <v>36</v>
      </c>
    </row>
    <row r="3" spans="1:8" x14ac:dyDescent="0.25">
      <c r="A3" s="178">
        <v>1</v>
      </c>
      <c r="B3" s="179"/>
      <c r="C3" s="180"/>
      <c r="D3" s="178"/>
      <c r="E3" s="178"/>
      <c r="F3" s="179"/>
      <c r="G3" s="178"/>
      <c r="H3" s="178"/>
    </row>
    <row r="4" spans="1:8" x14ac:dyDescent="0.25">
      <c r="A4" s="178">
        <v>2</v>
      </c>
      <c r="B4" s="179"/>
      <c r="C4" s="180"/>
      <c r="D4" s="178"/>
      <c r="E4" s="178"/>
      <c r="F4" s="179"/>
      <c r="G4" s="178"/>
      <c r="H4" s="178"/>
    </row>
    <row r="5" spans="1:8" x14ac:dyDescent="0.25">
      <c r="A5" s="178">
        <v>3</v>
      </c>
      <c r="B5" s="179"/>
      <c r="C5" s="180"/>
      <c r="D5" s="178"/>
      <c r="E5" s="178"/>
      <c r="F5" s="179"/>
      <c r="G5" s="178"/>
      <c r="H5" s="178"/>
    </row>
    <row r="6" spans="1:8" x14ac:dyDescent="0.25">
      <c r="A6" s="178">
        <v>4</v>
      </c>
      <c r="B6" s="179"/>
      <c r="C6" s="180"/>
      <c r="D6" s="178"/>
      <c r="E6" s="178"/>
      <c r="F6" s="179"/>
      <c r="G6" s="178"/>
      <c r="H6" s="178"/>
    </row>
    <row r="7" spans="1:8" x14ac:dyDescent="0.25">
      <c r="A7" s="178">
        <v>5</v>
      </c>
      <c r="B7" s="179"/>
      <c r="C7" s="180"/>
      <c r="D7" s="178"/>
      <c r="E7" s="178"/>
      <c r="F7" s="179"/>
      <c r="G7" s="178"/>
      <c r="H7" s="178"/>
    </row>
    <row r="8" spans="1:8" x14ac:dyDescent="0.25">
      <c r="A8" s="178">
        <v>6</v>
      </c>
      <c r="B8" s="179"/>
      <c r="C8" s="180"/>
      <c r="D8" s="178"/>
      <c r="E8" s="178"/>
      <c r="F8" s="179"/>
      <c r="G8" s="178"/>
      <c r="H8" s="178"/>
    </row>
    <row r="9" spans="1:8" x14ac:dyDescent="0.25">
      <c r="A9" s="178">
        <v>7</v>
      </c>
      <c r="B9" s="179"/>
      <c r="C9" s="180"/>
      <c r="D9" s="178"/>
      <c r="E9" s="178"/>
      <c r="F9" s="179"/>
      <c r="G9" s="178"/>
      <c r="H9" s="178"/>
    </row>
    <row r="10" spans="1:8" x14ac:dyDescent="0.25">
      <c r="A10" s="178">
        <v>8</v>
      </c>
      <c r="B10" s="179"/>
      <c r="C10" s="180"/>
      <c r="D10" s="178"/>
      <c r="E10" s="178"/>
      <c r="F10" s="179"/>
      <c r="G10" s="178"/>
      <c r="H10" s="178"/>
    </row>
    <row r="11" spans="1:8" x14ac:dyDescent="0.25">
      <c r="A11" s="178"/>
      <c r="B11" s="179"/>
      <c r="C11" s="178"/>
      <c r="D11" s="178"/>
      <c r="E11" s="178"/>
      <c r="F11" s="179"/>
      <c r="G11" s="178"/>
      <c r="H11" s="178"/>
    </row>
    <row r="12" spans="1:8" x14ac:dyDescent="0.25">
      <c r="A12" s="178"/>
      <c r="B12" s="179"/>
      <c r="C12" s="178"/>
      <c r="D12" s="178"/>
      <c r="E12" s="178"/>
      <c r="F12" s="179"/>
      <c r="G12" s="178"/>
      <c r="H12" s="178"/>
    </row>
    <row r="13" spans="1:8" x14ac:dyDescent="0.25">
      <c r="A13" s="178"/>
      <c r="B13" s="179"/>
      <c r="C13" s="178"/>
      <c r="D13" s="178"/>
      <c r="E13" s="178"/>
      <c r="F13" s="179"/>
      <c r="G13" s="178"/>
      <c r="H13" s="178"/>
    </row>
    <row r="14" spans="1:8" x14ac:dyDescent="0.25">
      <c r="A14" s="178"/>
      <c r="B14" s="179"/>
      <c r="C14" s="178"/>
      <c r="D14" s="178"/>
      <c r="E14" s="178"/>
      <c r="F14" s="179"/>
      <c r="G14" s="178"/>
      <c r="H14" s="178"/>
    </row>
    <row r="15" spans="1:8" x14ac:dyDescent="0.25">
      <c r="A15" s="178"/>
      <c r="B15" s="179"/>
      <c r="C15" s="178"/>
      <c r="D15" s="178"/>
      <c r="E15" s="178"/>
      <c r="F15" s="179"/>
      <c r="G15" s="178"/>
      <c r="H15" s="178"/>
    </row>
    <row r="16" spans="1:8" x14ac:dyDescent="0.25">
      <c r="A16" s="178"/>
      <c r="B16" s="179"/>
      <c r="C16" s="178"/>
      <c r="D16" s="178"/>
      <c r="E16" s="178"/>
      <c r="F16" s="179"/>
      <c r="G16" s="178"/>
      <c r="H16" s="178"/>
    </row>
    <row r="17" spans="1:8" x14ac:dyDescent="0.25">
      <c r="A17" s="178"/>
      <c r="B17" s="179"/>
      <c r="C17" s="178"/>
      <c r="D17" s="178"/>
      <c r="E17" s="178"/>
      <c r="F17" s="179"/>
      <c r="G17" s="178"/>
      <c r="H17" s="178"/>
    </row>
    <row r="18" spans="1:8" x14ac:dyDescent="0.25">
      <c r="A18" s="178"/>
      <c r="B18" s="179"/>
      <c r="C18" s="178"/>
      <c r="D18" s="178"/>
      <c r="E18" s="178"/>
      <c r="F18" s="179"/>
      <c r="G18" s="178"/>
      <c r="H18" s="178"/>
    </row>
    <row r="19" spans="1:8" x14ac:dyDescent="0.25">
      <c r="A19" s="178"/>
      <c r="B19" s="179"/>
      <c r="C19" s="178"/>
      <c r="D19" s="178"/>
      <c r="E19" s="178"/>
      <c r="F19" s="179"/>
      <c r="G19" s="178"/>
      <c r="H19" s="178"/>
    </row>
    <row r="20" spans="1:8" x14ac:dyDescent="0.25">
      <c r="A20" s="178"/>
      <c r="B20" s="179"/>
      <c r="C20" s="178"/>
      <c r="D20" s="178"/>
      <c r="E20" s="178"/>
      <c r="F20" s="179"/>
      <c r="G20" s="178"/>
      <c r="H20" s="178"/>
    </row>
    <row r="21" spans="1:8" x14ac:dyDescent="0.25">
      <c r="A21" s="178"/>
      <c r="B21" s="179"/>
      <c r="C21" s="178"/>
      <c r="D21" s="178"/>
      <c r="E21" s="178"/>
      <c r="F21" s="179"/>
      <c r="G21" s="178"/>
      <c r="H21" s="178"/>
    </row>
    <row r="22" spans="1:8" x14ac:dyDescent="0.25">
      <c r="A22" s="178"/>
      <c r="B22" s="179"/>
      <c r="C22" s="178"/>
      <c r="D22" s="178"/>
      <c r="E22" s="178"/>
      <c r="F22" s="179"/>
      <c r="G22" s="178"/>
      <c r="H22" s="178"/>
    </row>
    <row r="23" spans="1:8" x14ac:dyDescent="0.25">
      <c r="A23" s="43" t="s">
        <v>25</v>
      </c>
      <c r="B23" s="43"/>
      <c r="C23" s="43"/>
      <c r="D23" s="43">
        <f>SUM(D3:D22)</f>
        <v>0</v>
      </c>
      <c r="E23" s="43"/>
      <c r="F23" s="43"/>
      <c r="G23" s="43"/>
      <c r="H23" s="43"/>
    </row>
  </sheetData>
  <mergeCells count="1">
    <mergeCell ref="A1:H1"/>
  </mergeCells>
  <conditionalFormatting sqref="C24:H159 A26">
    <cfRule type="cellIs" dxfId="0" priority="4" stopIfTrue="1" operator="notEqual">
      <formula>""</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4577" r:id="rId4" name="Button 1">
              <controlPr defaultSize="0" print="0" autoFill="0" autoPict="0" macro="[0]!Membres_Bouton1_Cliquer">
                <anchor moveWithCells="1" sizeWithCells="1">
                  <from>
                    <xdr:col>9</xdr:col>
                    <xdr:colOff>95250</xdr:colOff>
                    <xdr:row>1</xdr:row>
                    <xdr:rowOff>47625</xdr:rowOff>
                  </from>
                  <to>
                    <xdr:col>10</xdr:col>
                    <xdr:colOff>476250</xdr:colOff>
                    <xdr:row>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4</vt:i4>
      </vt:variant>
    </vt:vector>
  </HeadingPairs>
  <TitlesOfParts>
    <vt:vector size="13" baseType="lpstr">
      <vt:lpstr>Menu</vt:lpstr>
      <vt:lpstr>Bilan ouverture</vt:lpstr>
      <vt:lpstr>Journal</vt:lpstr>
      <vt:lpstr>Résultat</vt:lpstr>
      <vt:lpstr>Caisse</vt:lpstr>
      <vt:lpstr>Bilan Clôture</vt:lpstr>
      <vt:lpstr>Budget</vt:lpstr>
      <vt:lpstr>Imprimer</vt:lpstr>
      <vt:lpstr>Membres</vt:lpstr>
      <vt:lpstr>compte</vt:lpstr>
      <vt:lpstr>comptes</vt:lpstr>
      <vt:lpstr>date</vt:lpstr>
      <vt:lpstr>Deb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fisco team</dc:creator>
  <cp:lastModifiedBy>JABER Adam</cp:lastModifiedBy>
  <cp:lastPrinted>2025-02-12T14:27:39Z</cp:lastPrinted>
  <dcterms:created xsi:type="dcterms:W3CDTF">2014-01-21T19:04:37Z</dcterms:created>
  <dcterms:modified xsi:type="dcterms:W3CDTF">2025-12-02T08:47:45Z</dcterms:modified>
</cp:coreProperties>
</file>